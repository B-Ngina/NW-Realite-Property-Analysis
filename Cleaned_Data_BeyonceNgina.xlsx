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5.xml" ContentType="application/vnd.openxmlformats-officedocument.spreadsheetml.table+xml"/>
  <Override PartName="/xl/queryTables/queryTable5.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HP\Downloads\Candidate_Submissions\"/>
    </mc:Choice>
  </mc:AlternateContent>
  <xr:revisionPtr revIDLastSave="0" documentId="13_ncr:1_{AB8C5AF0-0E8A-45D5-B22D-4E0744DF4AA2}" xr6:coauthVersionLast="47" xr6:coauthVersionMax="47" xr10:uidLastSave="{00000000-0000-0000-0000-000000000000}"/>
  <bookViews>
    <workbookView xWindow="0" yWindow="0" windowWidth="20490" windowHeight="10920" activeTab="5" xr2:uid="{9B71FB61-3234-46ED-86F4-F41EBBA6DE5D}"/>
  </bookViews>
  <sheets>
    <sheet name="units" sheetId="6" r:id="rId1"/>
    <sheet name="tenants" sheetId="5" r:id="rId2"/>
    <sheet name="properties" sheetId="4" r:id="rId3"/>
    <sheet name="locations" sheetId="3" r:id="rId4"/>
    <sheet name="Calculations" sheetId="8" r:id="rId5"/>
    <sheet name="Dashboard" sheetId="10" r:id="rId6"/>
    <sheet name="leases" sheetId="2" r:id="rId7"/>
  </sheets>
  <definedNames>
    <definedName name="ExternalData_1" localSheetId="6" hidden="1">leases!$A$1:$K$13</definedName>
    <definedName name="ExternalData_2" localSheetId="3" hidden="1">locations!$A$1:$B$4</definedName>
    <definedName name="ExternalData_3" localSheetId="2" hidden="1">properties!$A$1:$C$6</definedName>
    <definedName name="ExternalData_4" localSheetId="1" hidden="1">tenants!$A$1:$C$16</definedName>
    <definedName name="ExternalData_5" localSheetId="0" hidden="1">units!$A$1:$D$21</definedName>
    <definedName name="Slicer_Property_Location">#N/A</definedName>
  </definedNames>
  <calcPr calcId="191029"/>
  <pivotCaches>
    <pivotCache cacheId="11"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35" i="8" l="1"/>
  <c r="D36" i="8"/>
  <c r="D37" i="8"/>
  <c r="D38" i="8"/>
  <c r="C35" i="8"/>
  <c r="C36" i="8"/>
  <c r="C37" i="8"/>
  <c r="C38" i="8"/>
  <c r="C34" i="8"/>
  <c r="D34" i="8" s="1"/>
  <c r="B35" i="8"/>
  <c r="B36" i="8"/>
  <c r="B37" i="8"/>
  <c r="B38" i="8"/>
  <c r="B34" i="8"/>
  <c r="M2" i="2"/>
  <c r="M3" i="2"/>
  <c r="M4" i="2"/>
  <c r="M5" i="2"/>
  <c r="M6" i="2"/>
  <c r="M7" i="2"/>
  <c r="M8" i="2"/>
  <c r="M9" i="2"/>
  <c r="M10" i="2"/>
  <c r="M11" i="2"/>
  <c r="M12" i="2"/>
  <c r="M13" i="2"/>
  <c r="L2" i="2"/>
  <c r="L3" i="2"/>
  <c r="L4" i="2"/>
  <c r="L5" i="2"/>
  <c r="L6" i="2"/>
  <c r="L7" i="2"/>
  <c r="L8" i="2"/>
  <c r="L9" i="2"/>
  <c r="L10" i="2"/>
  <c r="L11" i="2"/>
  <c r="L12" i="2"/>
  <c r="L13" i="2"/>
  <c r="E2" i="6"/>
  <c r="F2" i="6"/>
  <c r="F3" i="6"/>
  <c r="F4" i="6"/>
  <c r="F5" i="6"/>
  <c r="F6" i="6"/>
  <c r="F7" i="6"/>
  <c r="F8" i="6"/>
  <c r="F9" i="6"/>
  <c r="F10" i="6"/>
  <c r="F11" i="6"/>
  <c r="F12" i="6"/>
  <c r="F13" i="6"/>
  <c r="F14" i="6"/>
  <c r="F15" i="6"/>
  <c r="F16" i="6"/>
  <c r="F17" i="6"/>
  <c r="F18" i="6"/>
  <c r="F19" i="6"/>
  <c r="F20" i="6"/>
  <c r="F21" i="6"/>
  <c r="E3" i="6"/>
  <c r="E4" i="6"/>
  <c r="E5" i="6"/>
  <c r="E6" i="6"/>
  <c r="E7" i="6"/>
  <c r="E8" i="6"/>
  <c r="E9" i="6"/>
  <c r="E10" i="6"/>
  <c r="E11" i="6"/>
  <c r="E12" i="6"/>
  <c r="E13" i="6"/>
  <c r="E14" i="6"/>
  <c r="E15" i="6"/>
  <c r="E16" i="6"/>
  <c r="E17" i="6"/>
  <c r="E18" i="6"/>
  <c r="E19" i="6"/>
  <c r="E20" i="6"/>
  <c r="E21"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95E9F5B-67E0-49CB-9EB8-731F263F2414}" keepAlive="1" name="Query - leases" description="Connection to the 'leases' query in the workbook." type="5" refreshedVersion="8" background="1" saveData="1">
    <dbPr connection="Provider=Microsoft.Mashup.OleDb.1;Data Source=$Workbook$;Location=leases;Extended Properties=&quot;&quot;" command="SELECT * FROM [leases]"/>
  </connection>
  <connection id="2" xr16:uid="{107A9599-0F37-4805-B8BB-4C3F35A66F3D}" keepAlive="1" name="Query - locations" description="Connection to the 'locations' query in the workbook." type="5" refreshedVersion="8" background="1" saveData="1">
    <dbPr connection="Provider=Microsoft.Mashup.OleDb.1;Data Source=$Workbook$;Location=locations;Extended Properties=&quot;&quot;" command="SELECT * FROM [locations]"/>
  </connection>
  <connection id="3" xr16:uid="{0CD84316-45E9-4520-8369-516267F0377A}" keepAlive="1" name="Query - properties" description="Connection to the 'properties' query in the workbook." type="5" refreshedVersion="8" background="1" saveData="1">
    <dbPr connection="Provider=Microsoft.Mashup.OleDb.1;Data Source=$Workbook$;Location=properties;Extended Properties=&quot;&quot;" command="SELECT * FROM [properties]"/>
  </connection>
  <connection id="4" xr16:uid="{111AAA22-5401-42D0-BD9B-3020221B6468}" keepAlive="1" name="Query - tenants" description="Connection to the 'tenants' query in the workbook." type="5" refreshedVersion="8" background="1" saveData="1">
    <dbPr connection="Provider=Microsoft.Mashup.OleDb.1;Data Source=$Workbook$;Location=tenants;Extended Properties=&quot;&quot;" command="SELECT * FROM [tenants]"/>
  </connection>
  <connection id="5" xr16:uid="{5B1FD966-6A56-4994-8F28-0C37B1660466}" keepAlive="1" name="Query - units" description="Connection to the 'units' query in the workbook." type="5" refreshedVersion="8" background="1" saveData="1">
    <dbPr connection="Provider=Microsoft.Mashup.OleDb.1;Data Source=$Workbook$;Location=units;Extended Properties=&quot;&quot;" command="SELECT * FROM [units]"/>
  </connection>
</connections>
</file>

<file path=xl/sharedStrings.xml><?xml version="1.0" encoding="utf-8"?>
<sst xmlns="http://schemas.openxmlformats.org/spreadsheetml/2006/main" count="130" uniqueCount="89">
  <si>
    <t>id</t>
  </si>
  <si>
    <t>unit_id</t>
  </si>
  <si>
    <t>tenant_id</t>
  </si>
  <si>
    <t>rent_per_month</t>
  </si>
  <si>
    <t>arrears</t>
  </si>
  <si>
    <t>start_date</t>
  </si>
  <si>
    <t>end_date</t>
  </si>
  <si>
    <t>annual_rent</t>
  </si>
  <si>
    <t>lease_duration_months</t>
  </si>
  <si>
    <t>valid_lease</t>
  </si>
  <si>
    <t>lease_status</t>
  </si>
  <si>
    <t>ongoing</t>
  </si>
  <si>
    <t>expired</t>
  </si>
  <si>
    <t>invalid</t>
  </si>
  <si>
    <t>name</t>
  </si>
  <si>
    <t>Nairobi Cbd</t>
  </si>
  <si>
    <t>Westlands</t>
  </si>
  <si>
    <t>Kilimani</t>
  </si>
  <si>
    <t>location_id</t>
  </si>
  <si>
    <t>NSSF Towers</t>
  </si>
  <si>
    <t>Delta Corner</t>
  </si>
  <si>
    <t>The Junction Residences</t>
  </si>
  <si>
    <t>Riverside Court</t>
  </si>
  <si>
    <t>Kimathi House</t>
  </si>
  <si>
    <t>email</t>
  </si>
  <si>
    <t>Amina Mwangi</t>
  </si>
  <si>
    <t>amina.mwangi@example.com</t>
  </si>
  <si>
    <t>Brian Otieno</t>
  </si>
  <si>
    <t>brian.otieno@example.com</t>
  </si>
  <si>
    <t>Carol Wanjiru</t>
  </si>
  <si>
    <t>carol.wanjiru@example.com</t>
  </si>
  <si>
    <t>David Kiptoo</t>
  </si>
  <si>
    <t>david.kiptoo@example.com</t>
  </si>
  <si>
    <t>Eunice Njeri</t>
  </si>
  <si>
    <t>eunice.njeri@example.com</t>
  </si>
  <si>
    <t>Farah Hassan</t>
  </si>
  <si>
    <t>farah.hassan@example.com</t>
  </si>
  <si>
    <t>George Ouma</t>
  </si>
  <si>
    <t>george.ouma@example.com</t>
  </si>
  <si>
    <t>Hannah Achieng</t>
  </si>
  <si>
    <t>hannah.achieng@example.com</t>
  </si>
  <si>
    <t>Ian Wachira</t>
  </si>
  <si>
    <t>ian.wachira@example.com</t>
  </si>
  <si>
    <t>Joy Wambui</t>
  </si>
  <si>
    <t>joy.wambui@example.com</t>
  </si>
  <si>
    <t>Kelvin Muli</t>
  </si>
  <si>
    <t>kelvin.muli@example.com</t>
  </si>
  <si>
    <t>Lydia Chebet</t>
  </si>
  <si>
    <t>lydia.chebet@example.com</t>
  </si>
  <si>
    <t>Mark Ndungu</t>
  </si>
  <si>
    <t>mark.ndungu@example.com</t>
  </si>
  <si>
    <t>Naomi Nyawira</t>
  </si>
  <si>
    <t/>
  </si>
  <si>
    <t>Oscar Owino</t>
  </si>
  <si>
    <t>oscar.owino@example.com</t>
  </si>
  <si>
    <t>property_id</t>
  </si>
  <si>
    <t>size</t>
  </si>
  <si>
    <t>A-101</t>
  </si>
  <si>
    <t>A-102</t>
  </si>
  <si>
    <t>B-201</t>
  </si>
  <si>
    <t>B-202</t>
  </si>
  <si>
    <t>C-301</t>
  </si>
  <si>
    <t>DC-1A</t>
  </si>
  <si>
    <t>DC-1B</t>
  </si>
  <si>
    <t>DC-2A</t>
  </si>
  <si>
    <t>DC-2B</t>
  </si>
  <si>
    <t>DC-3A</t>
  </si>
  <si>
    <t>JR-101</t>
  </si>
  <si>
    <t>JR-102</t>
  </si>
  <si>
    <t>JR-201</t>
  </si>
  <si>
    <t>JR-202</t>
  </si>
  <si>
    <t>RC-1A</t>
  </si>
  <si>
    <t>RC-1B</t>
  </si>
  <si>
    <t>RC-2A</t>
  </si>
  <si>
    <t>KH-101</t>
  </si>
  <si>
    <t>KH-201</t>
  </si>
  <si>
    <t>KH-301</t>
  </si>
  <si>
    <t>Property name</t>
  </si>
  <si>
    <t>Property Location</t>
  </si>
  <si>
    <t xml:space="preserve">Property name </t>
  </si>
  <si>
    <t>Row Labels</t>
  </si>
  <si>
    <t>Grand Total</t>
  </si>
  <si>
    <t>Sum of rent_per_month</t>
  </si>
  <si>
    <t>Sum of arrears</t>
  </si>
  <si>
    <t>Total units</t>
  </si>
  <si>
    <t>Occupied units</t>
  </si>
  <si>
    <t>Occupancy %</t>
  </si>
  <si>
    <t>Average of rent_per_month</t>
  </si>
  <si>
    <t>NW Realite Property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</si>
</sst>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8"/>
      <name val="Calibri"/>
      <family val="2"/>
      <scheme val="minor"/>
    </font>
    <font>
      <sz val="10"/>
      <color theme="1"/>
      <name val="Arial Unicode MS"/>
    </font>
    <font>
      <b/>
      <sz val="2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4" fontId="0" fillId="0" borderId="0" xfId="0" applyNumberFormat="1"/>
    <xf numFmtId="0" fontId="3" fillId="0" borderId="0" xfId="0" applyFont="1"/>
    <xf numFmtId="0" fontId="0" fillId="0" borderId="0" xfId="0" pivotButton="1"/>
    <xf numFmtId="0" fontId="0" fillId="0" borderId="0" xfId="0" applyAlignment="1">
      <alignment horizontal="left"/>
    </xf>
    <xf numFmtId="0" fontId="0" fillId="0" borderId="0" xfId="0" applyNumberFormat="1"/>
    <xf numFmtId="0" fontId="1" fillId="0" borderId="0" xfId="0" applyFont="1"/>
    <xf numFmtId="10" fontId="0" fillId="0" borderId="0" xfId="0" applyNumberFormat="1"/>
    <xf numFmtId="0" fontId="0" fillId="0" borderId="0" xfId="0" applyAlignment="1">
      <alignment horizontal="left" indent="1"/>
    </xf>
    <xf numFmtId="0" fontId="4" fillId="0" borderId="0" xfId="0" applyFont="1" applyAlignment="1">
      <alignment horizontal="center"/>
    </xf>
  </cellXfs>
  <cellStyles count="1">
    <cellStyle name="Normal" xfId="0" builtinId="0"/>
  </cellStyles>
  <dxfs count="11">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[Cleaned_Data_BeyonceNgina.xlsx]Calculations!PivotTable1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Total Rent Billed vs Total Arrears by Location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ivotFmts>
      <c:pivotFmt>
        <c:idx val="0"/>
        <c:spPr>
          <a:solidFill>
            <a:srgbClr val="00B050"/>
          </a:solidFill>
          <a:ln>
            <a:solidFill>
              <a:srgbClr val="00B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Calculations!$B$3</c:f>
              <c:strCache>
                <c:ptCount val="1"/>
                <c:pt idx="0">
                  <c:v>Sum of rent_per_month</c:v>
                </c:pt>
              </c:strCache>
            </c:strRef>
          </c:tx>
          <c:spPr>
            <a:solidFill>
              <a:srgbClr val="00B050"/>
            </a:solidFill>
            <a:ln>
              <a:solidFill>
                <a:srgbClr val="00B050"/>
              </a:solidFill>
            </a:ln>
            <a:effectLst/>
          </c:spPr>
          <c:invertIfNegative val="0"/>
          <c:cat>
            <c:strRef>
              <c:f>Calculations!$A$4:$A$7</c:f>
              <c:strCache>
                <c:ptCount val="3"/>
                <c:pt idx="0">
                  <c:v>Kilimani</c:v>
                </c:pt>
                <c:pt idx="1">
                  <c:v>Nairobi Cbd</c:v>
                </c:pt>
                <c:pt idx="2">
                  <c:v>Westlands</c:v>
                </c:pt>
              </c:strCache>
            </c:strRef>
          </c:cat>
          <c:val>
            <c:numRef>
              <c:f>Calculations!$B$4:$B$7</c:f>
              <c:numCache>
                <c:formatCode>General</c:formatCode>
                <c:ptCount val="3"/>
                <c:pt idx="0">
                  <c:v>78000</c:v>
                </c:pt>
                <c:pt idx="1">
                  <c:v>265000</c:v>
                </c:pt>
                <c:pt idx="2">
                  <c:v>183000</c:v>
                </c:pt>
              </c:numCache>
            </c:numRef>
          </c:val>
          <c:extLst>
            <c:ext xmlns:c16="http://schemas.microsoft.com/office/drawing/2014/chart" uri="{C3380CC4-5D6E-409C-BE32-E72D297353CC}">
              <c16:uniqueId val="{00000000-E02B-49A1-BD1A-C054E62C8471}"/>
            </c:ext>
          </c:extLst>
        </c:ser>
        <c:ser>
          <c:idx val="1"/>
          <c:order val="1"/>
          <c:tx>
            <c:strRef>
              <c:f>Calculations!$C$3</c:f>
              <c:strCache>
                <c:ptCount val="1"/>
                <c:pt idx="0">
                  <c:v>Sum of arrears</c:v>
                </c:pt>
              </c:strCache>
            </c:strRef>
          </c:tx>
          <c:spPr>
            <a:solidFill>
              <a:schemeClr val="accent2"/>
            </a:solidFill>
            <a:ln>
              <a:noFill/>
            </a:ln>
            <a:effectLst/>
          </c:spPr>
          <c:invertIfNegative val="0"/>
          <c:cat>
            <c:strRef>
              <c:f>Calculations!$A$4:$A$7</c:f>
              <c:strCache>
                <c:ptCount val="3"/>
                <c:pt idx="0">
                  <c:v>Kilimani</c:v>
                </c:pt>
                <c:pt idx="1">
                  <c:v>Nairobi Cbd</c:v>
                </c:pt>
                <c:pt idx="2">
                  <c:v>Westlands</c:v>
                </c:pt>
              </c:strCache>
            </c:strRef>
          </c:cat>
          <c:val>
            <c:numRef>
              <c:f>Calculations!$C$4:$C$7</c:f>
              <c:numCache>
                <c:formatCode>General</c:formatCode>
                <c:ptCount val="3"/>
                <c:pt idx="0">
                  <c:v>3000</c:v>
                </c:pt>
                <c:pt idx="1">
                  <c:v>4000</c:v>
                </c:pt>
                <c:pt idx="2">
                  <c:v>21000</c:v>
                </c:pt>
              </c:numCache>
            </c:numRef>
          </c:val>
          <c:extLst>
            <c:ext xmlns:c16="http://schemas.microsoft.com/office/drawing/2014/chart" uri="{C3380CC4-5D6E-409C-BE32-E72D297353CC}">
              <c16:uniqueId val="{00000001-E02B-49A1-BD1A-C054E62C8471}"/>
            </c:ext>
          </c:extLst>
        </c:ser>
        <c:dLbls>
          <c:showLegendKey val="0"/>
          <c:showVal val="0"/>
          <c:showCatName val="0"/>
          <c:showSerName val="0"/>
          <c:showPercent val="0"/>
          <c:showBubbleSize val="0"/>
        </c:dLbls>
        <c:gapWidth val="219"/>
        <c:overlap val="-27"/>
        <c:axId val="794564784"/>
        <c:axId val="794554704"/>
      </c:barChart>
      <c:catAx>
        <c:axId val="794564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794554704"/>
        <c:crosses val="autoZero"/>
        <c:auto val="1"/>
        <c:lblAlgn val="ctr"/>
        <c:lblOffset val="100"/>
        <c:noMultiLvlLbl val="0"/>
      </c:catAx>
      <c:valAx>
        <c:axId val="794554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794564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[Cleaned_Data_BeyonceNgina.xlsx]Calculations!PivotTable2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Top 3 Properties by Arrears</a:t>
            </a:r>
            <a:endParaRPr lang="en-US" b="1"/>
          </a:p>
        </c:rich>
      </c:tx>
      <c:layout>
        <c:manualLayout>
          <c:xMode val="edge"/>
          <c:yMode val="edge"/>
          <c:x val="0.24805555555555561"/>
          <c:y val="0.1378681831437736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Calculations!$C$18</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Calculations!$B$19:$B$22</c:f>
              <c:strCache>
                <c:ptCount val="3"/>
                <c:pt idx="0">
                  <c:v>Delta Corner</c:v>
                </c:pt>
                <c:pt idx="1">
                  <c:v>NSSF Towers</c:v>
                </c:pt>
                <c:pt idx="2">
                  <c:v>The Junction Residences</c:v>
                </c:pt>
              </c:strCache>
            </c:strRef>
          </c:cat>
          <c:val>
            <c:numRef>
              <c:f>Calculations!$C$19:$C$22</c:f>
              <c:numCache>
                <c:formatCode>General</c:formatCode>
                <c:ptCount val="3"/>
                <c:pt idx="0">
                  <c:v>21000</c:v>
                </c:pt>
                <c:pt idx="1">
                  <c:v>4000</c:v>
                </c:pt>
                <c:pt idx="2">
                  <c:v>3000</c:v>
                </c:pt>
              </c:numCache>
            </c:numRef>
          </c:val>
          <c:extLst>
            <c:ext xmlns:c16="http://schemas.microsoft.com/office/drawing/2014/chart" uri="{C3380CC4-5D6E-409C-BE32-E72D297353CC}">
              <c16:uniqueId val="{00000000-1B0C-4924-9ED0-A914C513A3A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Occupancy rate</a:t>
            </a:r>
            <a:r>
              <a:rPr lang="en-US" baseline="0"/>
              <a:t> (</a:t>
            </a: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barChart>
        <c:barDir val="bar"/>
        <c:grouping val="clustered"/>
        <c:varyColors val="0"/>
        <c:ser>
          <c:idx val="0"/>
          <c:order val="0"/>
          <c:tx>
            <c:strRef>
              <c:f>Calculations!$D$33</c:f>
              <c:strCache>
                <c:ptCount val="1"/>
                <c:pt idx="0">
                  <c:v>Occupancy %</c:v>
                </c:pt>
              </c:strCache>
            </c:strRef>
          </c:tx>
          <c:spPr>
            <a:solidFill>
              <a:schemeClr val="accent2">
                <a:lumMod val="75000"/>
              </a:schemeClr>
            </a:solidFill>
            <a:ln>
              <a:noFill/>
            </a:ln>
            <a:effectLst/>
          </c:spPr>
          <c:invertIfNegative val="0"/>
          <c:cat>
            <c:strRef>
              <c:f>Calculations!$A$34:$A$38</c:f>
              <c:strCache>
                <c:ptCount val="5"/>
                <c:pt idx="0">
                  <c:v>NSSF Towers</c:v>
                </c:pt>
                <c:pt idx="1">
                  <c:v>Delta Corner</c:v>
                </c:pt>
                <c:pt idx="2">
                  <c:v>The Junction Residences</c:v>
                </c:pt>
                <c:pt idx="3">
                  <c:v>Riverside Court</c:v>
                </c:pt>
                <c:pt idx="4">
                  <c:v>Kimathi House</c:v>
                </c:pt>
              </c:strCache>
            </c:strRef>
          </c:cat>
          <c:val>
            <c:numRef>
              <c:f>Calculations!$D$34:$D$38</c:f>
              <c:numCache>
                <c:formatCode>0.00%</c:formatCode>
                <c:ptCount val="5"/>
                <c:pt idx="0">
                  <c:v>1</c:v>
                </c:pt>
                <c:pt idx="1">
                  <c:v>0.8</c:v>
                </c:pt>
                <c:pt idx="2">
                  <c:v>0.5</c:v>
                </c:pt>
                <c:pt idx="3">
                  <c:v>0</c:v>
                </c:pt>
                <c:pt idx="4">
                  <c:v>0</c:v>
                </c:pt>
              </c:numCache>
            </c:numRef>
          </c:val>
          <c:extLst>
            <c:ext xmlns:c16="http://schemas.microsoft.com/office/drawing/2014/chart" uri="{C3380CC4-5D6E-409C-BE32-E72D297353CC}">
              <c16:uniqueId val="{00000000-66EE-4971-8739-4ADCBBBA9358}"/>
            </c:ext>
          </c:extLst>
        </c:ser>
        <c:dLbls>
          <c:showLegendKey val="0"/>
          <c:showVal val="0"/>
          <c:showCatName val="0"/>
          <c:showSerName val="0"/>
          <c:showPercent val="0"/>
          <c:showBubbleSize val="0"/>
        </c:dLbls>
        <c:gapWidth val="182"/>
        <c:axId val="951204016"/>
        <c:axId val="951199696"/>
      </c:barChart>
      <c:catAx>
        <c:axId val="951204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951199696"/>
        <c:crosses val="autoZero"/>
        <c:auto val="1"/>
        <c:lblAlgn val="ctr"/>
        <c:lblOffset val="100"/>
        <c:noMultiLvlLbl val="0"/>
      </c:catAx>
      <c:valAx>
        <c:axId val="95119969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951204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[Cleaned_Data_BeyonceNgina.xlsx]Calculations!PivotTable5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Average Monthly Rent per Property and  Location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ivotFmts>
      <c:pivotFmt>
        <c:idx val="0"/>
        <c:spPr>
          <a:solidFill>
            <a:srgbClr val="FF00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Calculations!$C$47</c:f>
              <c:strCache>
                <c:ptCount val="1"/>
                <c:pt idx="0">
                  <c:v>Total</c:v>
                </c:pt>
              </c:strCache>
            </c:strRef>
          </c:tx>
          <c:spPr>
            <a:solidFill>
              <a:srgbClr val="FF00FF"/>
            </a:solidFill>
            <a:ln>
              <a:noFill/>
            </a:ln>
            <a:effectLst/>
          </c:spPr>
          <c:invertIfNegative val="0"/>
          <c:cat>
            <c:multiLvlStrRef>
              <c:f>Calculations!$B$48:$B$54</c:f>
              <c:multiLvlStrCache>
                <c:ptCount val="3"/>
                <c:lvl>
                  <c:pt idx="0">
                    <c:v>The Junction Residences</c:v>
                  </c:pt>
                  <c:pt idx="1">
                    <c:v>NSSF Towers</c:v>
                  </c:pt>
                  <c:pt idx="2">
                    <c:v>Delta Corner</c:v>
                  </c:pt>
                </c:lvl>
                <c:lvl>
                  <c:pt idx="0">
                    <c:v>Kilimani</c:v>
                  </c:pt>
                  <c:pt idx="1">
                    <c:v>Nairobi Cbd</c:v>
                  </c:pt>
                  <c:pt idx="2">
                    <c:v>Westlands</c:v>
                  </c:pt>
                </c:lvl>
              </c:multiLvlStrCache>
            </c:multiLvlStrRef>
          </c:cat>
          <c:val>
            <c:numRef>
              <c:f>Calculations!$C$48:$C$54</c:f>
              <c:numCache>
                <c:formatCode>General</c:formatCode>
                <c:ptCount val="3"/>
                <c:pt idx="0">
                  <c:v>39000</c:v>
                </c:pt>
                <c:pt idx="1">
                  <c:v>53000</c:v>
                </c:pt>
                <c:pt idx="2">
                  <c:v>47000</c:v>
                </c:pt>
              </c:numCache>
            </c:numRef>
          </c:val>
          <c:extLst>
            <c:ext xmlns:c16="http://schemas.microsoft.com/office/drawing/2014/chart" uri="{C3380CC4-5D6E-409C-BE32-E72D297353CC}">
              <c16:uniqueId val="{00000000-5969-4AF8-9585-6207C49F2A2C}"/>
            </c:ext>
          </c:extLst>
        </c:ser>
        <c:dLbls>
          <c:showLegendKey val="0"/>
          <c:showVal val="0"/>
          <c:showCatName val="0"/>
          <c:showSerName val="0"/>
          <c:showPercent val="0"/>
          <c:showBubbleSize val="0"/>
        </c:dLbls>
        <c:gapWidth val="219"/>
        <c:overlap val="-27"/>
        <c:axId val="951208336"/>
        <c:axId val="951205456"/>
      </c:barChart>
      <c:catAx>
        <c:axId val="951208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951205456"/>
        <c:crosses val="autoZero"/>
        <c:auto val="1"/>
        <c:lblAlgn val="ctr"/>
        <c:lblOffset val="100"/>
        <c:noMultiLvlLbl val="0"/>
      </c:catAx>
      <c:valAx>
        <c:axId val="951205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951208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[Cleaned_Data_BeyonceNgina.xlsx]Calculations!PivotTable1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Total Rent Billed vs Total Arrears by Location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a:solidFill>
              <a:srgbClr val="00B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solidFill>
              <a:srgbClr val="00B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50"/>
          </a:solidFill>
          <a:ln>
            <a:solidFill>
              <a:srgbClr val="00B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Calculations!$B$3</c:f>
              <c:strCache>
                <c:ptCount val="1"/>
                <c:pt idx="0">
                  <c:v>Sum of rent_per_month</c:v>
                </c:pt>
              </c:strCache>
            </c:strRef>
          </c:tx>
          <c:spPr>
            <a:solidFill>
              <a:srgbClr val="00B050"/>
            </a:solidFill>
            <a:ln>
              <a:solidFill>
                <a:srgbClr val="00B050"/>
              </a:solidFill>
            </a:ln>
            <a:effectLst/>
          </c:spPr>
          <c:invertIfNegative val="0"/>
          <c:cat>
            <c:strRef>
              <c:f>Calculations!$A$4:$A$7</c:f>
              <c:strCache>
                <c:ptCount val="3"/>
                <c:pt idx="0">
                  <c:v>Kilimani</c:v>
                </c:pt>
                <c:pt idx="1">
                  <c:v>Nairobi Cbd</c:v>
                </c:pt>
                <c:pt idx="2">
                  <c:v>Westlands</c:v>
                </c:pt>
              </c:strCache>
            </c:strRef>
          </c:cat>
          <c:val>
            <c:numRef>
              <c:f>Calculations!$B$4:$B$7</c:f>
              <c:numCache>
                <c:formatCode>General</c:formatCode>
                <c:ptCount val="3"/>
                <c:pt idx="0">
                  <c:v>78000</c:v>
                </c:pt>
                <c:pt idx="1">
                  <c:v>265000</c:v>
                </c:pt>
                <c:pt idx="2">
                  <c:v>183000</c:v>
                </c:pt>
              </c:numCache>
            </c:numRef>
          </c:val>
          <c:extLst>
            <c:ext xmlns:c16="http://schemas.microsoft.com/office/drawing/2014/chart" uri="{C3380CC4-5D6E-409C-BE32-E72D297353CC}">
              <c16:uniqueId val="{00000000-F898-4442-B4A5-7ADD9155B5FD}"/>
            </c:ext>
          </c:extLst>
        </c:ser>
        <c:ser>
          <c:idx val="1"/>
          <c:order val="1"/>
          <c:tx>
            <c:strRef>
              <c:f>Calculations!$C$3</c:f>
              <c:strCache>
                <c:ptCount val="1"/>
                <c:pt idx="0">
                  <c:v>Sum of arrears</c:v>
                </c:pt>
              </c:strCache>
            </c:strRef>
          </c:tx>
          <c:spPr>
            <a:solidFill>
              <a:schemeClr val="accent2"/>
            </a:solidFill>
            <a:ln>
              <a:noFill/>
            </a:ln>
            <a:effectLst/>
          </c:spPr>
          <c:invertIfNegative val="0"/>
          <c:cat>
            <c:strRef>
              <c:f>Calculations!$A$4:$A$7</c:f>
              <c:strCache>
                <c:ptCount val="3"/>
                <c:pt idx="0">
                  <c:v>Kilimani</c:v>
                </c:pt>
                <c:pt idx="1">
                  <c:v>Nairobi Cbd</c:v>
                </c:pt>
                <c:pt idx="2">
                  <c:v>Westlands</c:v>
                </c:pt>
              </c:strCache>
            </c:strRef>
          </c:cat>
          <c:val>
            <c:numRef>
              <c:f>Calculations!$C$4:$C$7</c:f>
              <c:numCache>
                <c:formatCode>General</c:formatCode>
                <c:ptCount val="3"/>
                <c:pt idx="0">
                  <c:v>3000</c:v>
                </c:pt>
                <c:pt idx="1">
                  <c:v>4000</c:v>
                </c:pt>
                <c:pt idx="2">
                  <c:v>21000</c:v>
                </c:pt>
              </c:numCache>
            </c:numRef>
          </c:val>
          <c:extLst>
            <c:ext xmlns:c16="http://schemas.microsoft.com/office/drawing/2014/chart" uri="{C3380CC4-5D6E-409C-BE32-E72D297353CC}">
              <c16:uniqueId val="{00000001-F898-4442-B4A5-7ADD9155B5FD}"/>
            </c:ext>
          </c:extLst>
        </c:ser>
        <c:dLbls>
          <c:showLegendKey val="0"/>
          <c:showVal val="0"/>
          <c:showCatName val="0"/>
          <c:showSerName val="0"/>
          <c:showPercent val="0"/>
          <c:showBubbleSize val="0"/>
        </c:dLbls>
        <c:gapWidth val="219"/>
        <c:overlap val="-27"/>
        <c:axId val="794564784"/>
        <c:axId val="794554704"/>
      </c:barChart>
      <c:catAx>
        <c:axId val="794564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LID4096"/>
          </a:p>
        </c:txPr>
        <c:crossAx val="794554704"/>
        <c:crosses val="autoZero"/>
        <c:auto val="1"/>
        <c:lblAlgn val="ctr"/>
        <c:lblOffset val="100"/>
        <c:noMultiLvlLbl val="0"/>
      </c:catAx>
      <c:valAx>
        <c:axId val="794554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crossAx val="794564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[Cleaned_Data_BeyonceNgina.xlsx]Calculations!PivotTable2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Top 3 Properties by Arrears</a:t>
            </a:r>
            <a:endParaRPr lang="en-US" b="1"/>
          </a:p>
        </c:rich>
      </c:tx>
      <c:layout>
        <c:manualLayout>
          <c:xMode val="edge"/>
          <c:yMode val="edge"/>
          <c:x val="0.24805555555555561"/>
          <c:y val="0.1378681831437736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Calculations!$C$18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E22-46E8-9FA7-CF5BFE0B003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E22-46E8-9FA7-CF5BFE0B003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E22-46E8-9FA7-CF5BFE0B003E}"/>
              </c:ext>
            </c:extLst>
          </c:dPt>
          <c:cat>
            <c:strRef>
              <c:f>Calculations!$B$19:$B$22</c:f>
              <c:strCache>
                <c:ptCount val="3"/>
                <c:pt idx="0">
                  <c:v>Delta Corner</c:v>
                </c:pt>
                <c:pt idx="1">
                  <c:v>NSSF Towers</c:v>
                </c:pt>
                <c:pt idx="2">
                  <c:v>The Junction Residences</c:v>
                </c:pt>
              </c:strCache>
            </c:strRef>
          </c:cat>
          <c:val>
            <c:numRef>
              <c:f>Calculations!$C$19:$C$22</c:f>
              <c:numCache>
                <c:formatCode>General</c:formatCode>
                <c:ptCount val="3"/>
                <c:pt idx="0">
                  <c:v>21000</c:v>
                </c:pt>
                <c:pt idx="1">
                  <c:v>4000</c:v>
                </c:pt>
                <c:pt idx="2">
                  <c:v>3000</c:v>
                </c:pt>
              </c:numCache>
            </c:numRef>
          </c:val>
          <c:extLst>
            <c:ext xmlns:c16="http://schemas.microsoft.com/office/drawing/2014/chart" uri="{C3380CC4-5D6E-409C-BE32-E72D297353CC}">
              <c16:uniqueId val="{00000006-EE22-46E8-9FA7-CF5BFE0B003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Occupancy rate</a:t>
            </a:r>
            <a:r>
              <a:rPr lang="en-US" baseline="0"/>
              <a:t> (</a:t>
            </a: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barChart>
        <c:barDir val="bar"/>
        <c:grouping val="clustered"/>
        <c:varyColors val="0"/>
        <c:ser>
          <c:idx val="0"/>
          <c:order val="0"/>
          <c:tx>
            <c:strRef>
              <c:f>Calculations!$D$33</c:f>
              <c:strCache>
                <c:ptCount val="1"/>
                <c:pt idx="0">
                  <c:v>Occupancy %</c:v>
                </c:pt>
              </c:strCache>
            </c:strRef>
          </c:tx>
          <c:spPr>
            <a:solidFill>
              <a:schemeClr val="accent2">
                <a:lumMod val="75000"/>
              </a:schemeClr>
            </a:solidFill>
            <a:ln>
              <a:noFill/>
            </a:ln>
            <a:effectLst/>
          </c:spPr>
          <c:invertIfNegative val="0"/>
          <c:cat>
            <c:strRef>
              <c:f>Calculations!$A$34:$A$38</c:f>
              <c:strCache>
                <c:ptCount val="5"/>
                <c:pt idx="0">
                  <c:v>NSSF Towers</c:v>
                </c:pt>
                <c:pt idx="1">
                  <c:v>Delta Corner</c:v>
                </c:pt>
                <c:pt idx="2">
                  <c:v>The Junction Residences</c:v>
                </c:pt>
                <c:pt idx="3">
                  <c:v>Riverside Court</c:v>
                </c:pt>
                <c:pt idx="4">
                  <c:v>Kimathi House</c:v>
                </c:pt>
              </c:strCache>
            </c:strRef>
          </c:cat>
          <c:val>
            <c:numRef>
              <c:f>Calculations!$D$34:$D$38</c:f>
              <c:numCache>
                <c:formatCode>0.00%</c:formatCode>
                <c:ptCount val="5"/>
                <c:pt idx="0">
                  <c:v>1</c:v>
                </c:pt>
                <c:pt idx="1">
                  <c:v>0.8</c:v>
                </c:pt>
                <c:pt idx="2">
                  <c:v>0.5</c:v>
                </c:pt>
                <c:pt idx="3">
                  <c:v>0</c:v>
                </c:pt>
                <c:pt idx="4">
                  <c:v>0</c:v>
                </c:pt>
              </c:numCache>
            </c:numRef>
          </c:val>
          <c:extLst>
            <c:ext xmlns:c16="http://schemas.microsoft.com/office/drawing/2014/chart" uri="{C3380CC4-5D6E-409C-BE32-E72D297353CC}">
              <c16:uniqueId val="{00000000-9267-42B3-B0C8-AD56E8D7668E}"/>
            </c:ext>
          </c:extLst>
        </c:ser>
        <c:dLbls>
          <c:showLegendKey val="0"/>
          <c:showVal val="0"/>
          <c:showCatName val="0"/>
          <c:showSerName val="0"/>
          <c:showPercent val="0"/>
          <c:showBubbleSize val="0"/>
        </c:dLbls>
        <c:gapWidth val="182"/>
        <c:axId val="951204016"/>
        <c:axId val="951199696"/>
      </c:barChart>
      <c:catAx>
        <c:axId val="951204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LID4096"/>
          </a:p>
        </c:txPr>
        <c:crossAx val="951199696"/>
        <c:crosses val="autoZero"/>
        <c:auto val="1"/>
        <c:lblAlgn val="ctr"/>
        <c:lblOffset val="100"/>
        <c:noMultiLvlLbl val="0"/>
      </c:catAx>
      <c:valAx>
        <c:axId val="95119969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951204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[Cleaned_Data_BeyonceNgina.xlsx]Calculations!PivotTable5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Average Monthly Rent per Property and  Location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Calculations!$C$47</c:f>
              <c:strCache>
                <c:ptCount val="1"/>
                <c:pt idx="0">
                  <c:v>Total</c:v>
                </c:pt>
              </c:strCache>
            </c:strRef>
          </c:tx>
          <c:spPr>
            <a:solidFill>
              <a:srgbClr val="FF00FF"/>
            </a:solidFill>
            <a:ln>
              <a:noFill/>
            </a:ln>
            <a:effectLst/>
          </c:spPr>
          <c:invertIfNegative val="0"/>
          <c:cat>
            <c:multiLvlStrRef>
              <c:f>Calculations!$B$48:$B$54</c:f>
              <c:multiLvlStrCache>
                <c:ptCount val="3"/>
                <c:lvl>
                  <c:pt idx="0">
                    <c:v>The Junction Residences</c:v>
                  </c:pt>
                  <c:pt idx="1">
                    <c:v>NSSF Towers</c:v>
                  </c:pt>
                  <c:pt idx="2">
                    <c:v>Delta Corner</c:v>
                  </c:pt>
                </c:lvl>
                <c:lvl>
                  <c:pt idx="0">
                    <c:v>Kilimani</c:v>
                  </c:pt>
                  <c:pt idx="1">
                    <c:v>Nairobi Cbd</c:v>
                  </c:pt>
                  <c:pt idx="2">
                    <c:v>Westlands</c:v>
                  </c:pt>
                </c:lvl>
              </c:multiLvlStrCache>
            </c:multiLvlStrRef>
          </c:cat>
          <c:val>
            <c:numRef>
              <c:f>Calculations!$C$48:$C$54</c:f>
              <c:numCache>
                <c:formatCode>General</c:formatCode>
                <c:ptCount val="3"/>
                <c:pt idx="0">
                  <c:v>39000</c:v>
                </c:pt>
                <c:pt idx="1">
                  <c:v>53000</c:v>
                </c:pt>
                <c:pt idx="2">
                  <c:v>47000</c:v>
                </c:pt>
              </c:numCache>
            </c:numRef>
          </c:val>
          <c:extLst>
            <c:ext xmlns:c16="http://schemas.microsoft.com/office/drawing/2014/chart" uri="{C3380CC4-5D6E-409C-BE32-E72D297353CC}">
              <c16:uniqueId val="{00000000-6FEF-4D30-B9B2-1BE0747063D1}"/>
            </c:ext>
          </c:extLst>
        </c:ser>
        <c:dLbls>
          <c:showLegendKey val="0"/>
          <c:showVal val="0"/>
          <c:showCatName val="0"/>
          <c:showSerName val="0"/>
          <c:showPercent val="0"/>
          <c:showBubbleSize val="0"/>
        </c:dLbls>
        <c:gapWidth val="219"/>
        <c:overlap val="-27"/>
        <c:axId val="951208336"/>
        <c:axId val="951205456"/>
      </c:barChart>
      <c:catAx>
        <c:axId val="951208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LID4096"/>
          </a:p>
        </c:txPr>
        <c:crossAx val="951205456"/>
        <c:crosses val="autoZero"/>
        <c:auto val="1"/>
        <c:lblAlgn val="ctr"/>
        <c:lblOffset val="100"/>
        <c:noMultiLvlLbl val="0"/>
      </c:catAx>
      <c:valAx>
        <c:axId val="951205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LID4096"/>
          </a:p>
        </c:txPr>
        <c:crossAx val="951208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66675</xdr:colOff>
      <xdr:row>1</xdr:row>
      <xdr:rowOff>100012</xdr:rowOff>
    </xdr:from>
    <xdr:to>
      <xdr:col>11</xdr:col>
      <xdr:colOff>371475</xdr:colOff>
      <xdr:row>16</xdr:row>
      <xdr:rowOff>19050</xdr:rowOff>
    </xdr:to>
    <xdr:graphicFrame macro="">
      <xdr:nvGraphicFramePr>
        <xdr:cNvPr id="2" name="Chart 1">
          <a:extLst>
            <a:ext uri="{FF2B5EF4-FFF2-40B4-BE49-F238E27FC236}">
              <a16:creationId xmlns:a16="http://schemas.microsoft.com/office/drawing/2014/main" id="{0AEB5376-F144-AF75-8274-F2008F6462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104775</xdr:colOff>
      <xdr:row>16</xdr:row>
      <xdr:rowOff>90487</xdr:rowOff>
    </xdr:from>
    <xdr:to>
      <xdr:col>11</xdr:col>
      <xdr:colOff>409575</xdr:colOff>
      <xdr:row>30</xdr:row>
      <xdr:rowOff>166687</xdr:rowOff>
    </xdr:to>
    <xdr:graphicFrame macro="">
      <xdr:nvGraphicFramePr>
        <xdr:cNvPr id="3" name="Chart 2">
          <a:extLst>
            <a:ext uri="{FF2B5EF4-FFF2-40B4-BE49-F238E27FC236}">
              <a16:creationId xmlns:a16="http://schemas.microsoft.com/office/drawing/2014/main" id="{0259922C-E0F9-E0F1-706E-3D34EA7AAD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214312</xdr:colOff>
      <xdr:row>32</xdr:row>
      <xdr:rowOff>14286</xdr:rowOff>
    </xdr:from>
    <xdr:to>
      <xdr:col>11</xdr:col>
      <xdr:colOff>209550</xdr:colOff>
      <xdr:row>46</xdr:row>
      <xdr:rowOff>95249</xdr:rowOff>
    </xdr:to>
    <xdr:graphicFrame macro="">
      <xdr:nvGraphicFramePr>
        <xdr:cNvPr id="4" name="Chart 3">
          <a:extLst>
            <a:ext uri="{FF2B5EF4-FFF2-40B4-BE49-F238E27FC236}">
              <a16:creationId xmlns:a16="http://schemas.microsoft.com/office/drawing/2014/main" id="{B34AE6E5-56A0-ABBA-DC66-18DBE3EE99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1738312</xdr:colOff>
      <xdr:row>46</xdr:row>
      <xdr:rowOff>128587</xdr:rowOff>
    </xdr:from>
    <xdr:to>
      <xdr:col>8</xdr:col>
      <xdr:colOff>566737</xdr:colOff>
      <xdr:row>61</xdr:row>
      <xdr:rowOff>14287</xdr:rowOff>
    </xdr:to>
    <xdr:graphicFrame macro="">
      <xdr:nvGraphicFramePr>
        <xdr:cNvPr id="5" name="Chart 4">
          <a:extLst>
            <a:ext uri="{FF2B5EF4-FFF2-40B4-BE49-F238E27FC236}">
              <a16:creationId xmlns:a16="http://schemas.microsoft.com/office/drawing/2014/main" id="{D39C35D8-435E-9F26-6DB7-0A8CE15E30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142874</xdr:colOff>
      <xdr:row>3</xdr:row>
      <xdr:rowOff>31751</xdr:rowOff>
    </xdr:from>
    <xdr:to>
      <xdr:col>10</xdr:col>
      <xdr:colOff>492124</xdr:colOff>
      <xdr:row>18</xdr:row>
      <xdr:rowOff>142875</xdr:rowOff>
    </xdr:to>
    <xdr:graphicFrame macro="">
      <xdr:nvGraphicFramePr>
        <xdr:cNvPr id="3" name="Chart 2">
          <a:extLst>
            <a:ext uri="{FF2B5EF4-FFF2-40B4-BE49-F238E27FC236}">
              <a16:creationId xmlns:a16="http://schemas.microsoft.com/office/drawing/2014/main" id="{4F36C5E9-87B9-49EB-94D7-1C0E203377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571500</xdr:colOff>
      <xdr:row>3</xdr:row>
      <xdr:rowOff>120650</xdr:rowOff>
    </xdr:from>
    <xdr:to>
      <xdr:col>17</xdr:col>
      <xdr:colOff>0</xdr:colOff>
      <xdr:row>18</xdr:row>
      <xdr:rowOff>6350</xdr:rowOff>
    </xdr:to>
    <xdr:graphicFrame macro="">
      <xdr:nvGraphicFramePr>
        <xdr:cNvPr id="5" name="Chart 4">
          <a:extLst>
            <a:ext uri="{FF2B5EF4-FFF2-40B4-BE49-F238E27FC236}">
              <a16:creationId xmlns:a16="http://schemas.microsoft.com/office/drawing/2014/main" id="{059085AF-A678-4CAC-817F-E80CD5202E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365125</xdr:colOff>
      <xdr:row>18</xdr:row>
      <xdr:rowOff>133350</xdr:rowOff>
    </xdr:from>
    <xdr:to>
      <xdr:col>9</xdr:col>
      <xdr:colOff>227013</xdr:colOff>
      <xdr:row>33</xdr:row>
      <xdr:rowOff>23813</xdr:rowOff>
    </xdr:to>
    <xdr:graphicFrame macro="">
      <xdr:nvGraphicFramePr>
        <xdr:cNvPr id="6" name="Chart 5">
          <a:extLst>
            <a:ext uri="{FF2B5EF4-FFF2-40B4-BE49-F238E27FC236}">
              <a16:creationId xmlns:a16="http://schemas.microsoft.com/office/drawing/2014/main" id="{230A01CE-6EAD-4B8B-83CF-B9A12E4286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508000</xdr:colOff>
      <xdr:row>18</xdr:row>
      <xdr:rowOff>136525</xdr:rowOff>
    </xdr:from>
    <xdr:to>
      <xdr:col>17</xdr:col>
      <xdr:colOff>209550</xdr:colOff>
      <xdr:row>33</xdr:row>
      <xdr:rowOff>22225</xdr:rowOff>
    </xdr:to>
    <xdr:graphicFrame macro="">
      <xdr:nvGraphicFramePr>
        <xdr:cNvPr id="7" name="Chart 6">
          <a:extLst>
            <a:ext uri="{FF2B5EF4-FFF2-40B4-BE49-F238E27FC236}">
              <a16:creationId xmlns:a16="http://schemas.microsoft.com/office/drawing/2014/main" id="{89118D9E-DD55-4502-8249-726D19BD80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473075</xdr:colOff>
      <xdr:row>2</xdr:row>
      <xdr:rowOff>66675</xdr:rowOff>
    </xdr:from>
    <xdr:to>
      <xdr:col>20</xdr:col>
      <xdr:colOff>473075</xdr:colOff>
      <xdr:row>14</xdr:row>
      <xdr:rowOff>161925</xdr:rowOff>
    </xdr:to>
    <mc:AlternateContent xmlns:mc="http://schemas.openxmlformats.org/markup-compatibility/2006">
      <mc:Choice xmlns:a14="http://schemas.microsoft.com/office/drawing/2010/main" Requires="a14">
        <xdr:graphicFrame macro="">
          <xdr:nvGraphicFramePr>
            <xdr:cNvPr id="8" name="Property Location">
              <a:extLst>
                <a:ext uri="{FF2B5EF4-FFF2-40B4-BE49-F238E27FC236}">
                  <a16:creationId xmlns:a16="http://schemas.microsoft.com/office/drawing/2014/main" id="{FFAB0F19-6D21-F835-6A57-DC879477FC7B}"/>
                </a:ext>
              </a:extLst>
            </xdr:cNvPr>
            <xdr:cNvGraphicFramePr/>
          </xdr:nvGraphicFramePr>
          <xdr:xfrm>
            <a:off x="0" y="0"/>
            <a:ext cx="0" cy="0"/>
          </xdr:xfrm>
          <a:graphic>
            <a:graphicData uri="http://schemas.microsoft.com/office/drawing/2010/slicer">
              <sle:slicer xmlns:sle="http://schemas.microsoft.com/office/drawing/2010/slicer" name="Property Location"/>
            </a:graphicData>
          </a:graphic>
        </xdr:graphicFrame>
      </mc:Choice>
      <mc:Fallback>
        <xdr:sp macro="" textlink="">
          <xdr:nvSpPr>
            <xdr:cNvPr id="0" name=""/>
            <xdr:cNvSpPr>
              <a:spLocks noTextEdit="1"/>
            </xdr:cNvSpPr>
          </xdr:nvSpPr>
          <xdr:spPr>
            <a:xfrm>
              <a:off x="12885341" y="453628"/>
              <a:ext cx="1830586" cy="2550914"/>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17</xdr:col>
      <xdr:colOff>593725</xdr:colOff>
      <xdr:row>18</xdr:row>
      <xdr:rowOff>6348</xdr:rowOff>
    </xdr:from>
    <xdr:ext cx="5610225" cy="2628902"/>
    <xdr:sp macro="" textlink="">
      <xdr:nvSpPr>
        <xdr:cNvPr id="9" name="TextBox 8">
          <a:extLst>
            <a:ext uri="{FF2B5EF4-FFF2-40B4-BE49-F238E27FC236}">
              <a16:creationId xmlns:a16="http://schemas.microsoft.com/office/drawing/2014/main" id="{089DE0F8-EA2B-8B03-E77F-0E360C2F2035}"/>
            </a:ext>
          </a:extLst>
        </xdr:cNvPr>
        <xdr:cNvSpPr txBox="1"/>
      </xdr:nvSpPr>
      <xdr:spPr>
        <a:xfrm>
          <a:off x="12896850" y="3578223"/>
          <a:ext cx="5610225" cy="26289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2000">
              <a:latin typeface="Times New Roman" panose="02020603050405020304" pitchFamily="18" charset="0"/>
              <a:cs typeface="Times New Roman" panose="02020603050405020304" pitchFamily="18" charset="0"/>
            </a:rPr>
            <a:t>Overall, the portfolio shows a healthy revenue stream, but Westlands carries the highest risk with Ksh 21,000 in arrears. Property occupancy is polarized, with NSSF Towers at 100% while Riverside Court &amp; Kimathi House remain vacant, indicating a need for targeted marketing.Collection efficiency should be prioritized in the CBD where arrears are rising despite high rent billing</a:t>
          </a:r>
          <a:r>
            <a:rPr lang="en-US" sz="1200">
              <a:latin typeface="Times New Roman" panose="02020603050405020304" pitchFamily="18" charset="0"/>
              <a:cs typeface="Times New Roman" panose="02020603050405020304" pitchFamily="18" charset="0"/>
            </a:rPr>
            <a:t>.</a:t>
          </a:r>
          <a:endParaRPr lang="LID4096" sz="1200">
            <a:latin typeface="Times New Roman" panose="02020603050405020304" pitchFamily="18" charset="0"/>
            <a:cs typeface="Times New Roman" panose="02020603050405020304" pitchFamily="18" charset="0"/>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59902.992065393519" createdVersion="8" refreshedVersion="8" minRefreshableVersion="3" recordCount="12" xr:uid="{16B98391-49CA-4B88-AFEC-E2067A2FD130}">
  <cacheSource type="worksheet">
    <worksheetSource name="leases"/>
  </cacheSource>
  <cacheFields count="13">
    <cacheField name="id" numFmtId="0">
      <sharedItems containsSemiMixedTypes="0" containsString="0" containsNumber="1" containsInteger="1" minValue="1" maxValue="12"/>
    </cacheField>
    <cacheField name="unit_id" numFmtId="0">
      <sharedItems containsSemiMixedTypes="0" containsString="0" containsNumber="1" containsInteger="1" minValue="1" maxValue="12"/>
    </cacheField>
    <cacheField name="tenant_id" numFmtId="0">
      <sharedItems containsSemiMixedTypes="0" containsString="0" containsNumber="1" containsInteger="1" minValue="1" maxValue="10"/>
    </cacheField>
    <cacheField name="rent_per_month" numFmtId="0">
      <sharedItems containsSemiMixedTypes="0" containsString="0" containsNumber="1" containsInteger="1" minValue="30000" maxValue="70000"/>
    </cacheField>
    <cacheField name="arrears" numFmtId="0">
      <sharedItems containsSemiMixedTypes="0" containsString="0" containsNumber="1" containsInteger="1" minValue="-2000" maxValue="12000"/>
    </cacheField>
    <cacheField name="start_date" numFmtId="14">
      <sharedItems containsSemiMixedTypes="0" containsNonDate="0" containsDate="1" containsString="0" minDate="2023-05-01T00:00:00" maxDate="2025-02-02T00:00:00"/>
    </cacheField>
    <cacheField name="end_date" numFmtId="14">
      <sharedItems containsNonDate="0" containsDate="1" containsString="0" containsBlank="1" minDate="2024-04-30T00:00:00" maxDate="2026-01-01T00:00:00"/>
    </cacheField>
    <cacheField name="annual_rent" numFmtId="0">
      <sharedItems containsSemiMixedTypes="0" containsString="0" containsNumber="1" containsInteger="1" minValue="360000" maxValue="840000"/>
    </cacheField>
    <cacheField name="lease_duration_months" numFmtId="0">
      <sharedItems containsSemiMixedTypes="0" containsString="0" containsNumber="1" containsInteger="1" minValue="0" maxValue="28"/>
    </cacheField>
    <cacheField name="valid_lease" numFmtId="0">
      <sharedItems containsSemiMixedTypes="0" containsString="0" containsNumber="1" containsInteger="1" minValue="0" maxValue="1" count="2">
        <n v="1"/>
        <n v="0"/>
      </sharedItems>
    </cacheField>
    <cacheField name="lease_status" numFmtId="0">
      <sharedItems/>
    </cacheField>
    <cacheField name="Property name " numFmtId="0">
      <sharedItems count="3">
        <s v="NSSF Towers"/>
        <s v="Delta Corner"/>
        <s v="The Junction Residences"/>
      </sharedItems>
    </cacheField>
    <cacheField name="Property Location" numFmtId="0">
      <sharedItems count="3">
        <s v="Nairobi Cbd"/>
        <s v="Westlands"/>
        <s v="Kilimani"/>
      </sharedItems>
    </cacheField>
  </cacheFields>
  <extLst>
    <ext xmlns:x14="http://schemas.microsoft.com/office/spreadsheetml/2009/9/main" uri="{725AE2AE-9491-48be-B2B4-4EB974FC3084}">
      <x14:pivotCacheDefinition pivotCacheId="8836872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n v="1"/>
    <n v="1"/>
    <n v="1"/>
    <n v="45000"/>
    <n v="0"/>
    <d v="2024-01-01T00:00:00"/>
    <m/>
    <n v="540000"/>
    <n v="24"/>
    <x v="0"/>
    <s v="ongoing"/>
    <x v="0"/>
    <x v="0"/>
  </r>
  <r>
    <n v="2"/>
    <n v="2"/>
    <n v="2"/>
    <n v="55000"/>
    <n v="5000"/>
    <d v="2023-11-01T00:00:00"/>
    <d v="2024-10-31T00:00:00"/>
    <n v="660000"/>
    <n v="12"/>
    <x v="0"/>
    <s v="expired"/>
    <x v="0"/>
    <x v="0"/>
  </r>
  <r>
    <n v="3"/>
    <n v="3"/>
    <n v="3"/>
    <n v="65000"/>
    <n v="-2000"/>
    <d v="2024-02-01T00:00:00"/>
    <m/>
    <n v="780000"/>
    <n v="23"/>
    <x v="0"/>
    <s v="ongoing"/>
    <x v="0"/>
    <x v="0"/>
  </r>
  <r>
    <n v="4"/>
    <n v="4"/>
    <n v="4"/>
    <n v="30000"/>
    <n v="1000"/>
    <d v="2024-03-01T00:00:00"/>
    <m/>
    <n v="360000"/>
    <n v="22"/>
    <x v="0"/>
    <s v="ongoing"/>
    <x v="0"/>
    <x v="0"/>
  </r>
  <r>
    <n v="5"/>
    <n v="5"/>
    <n v="3"/>
    <n v="70000"/>
    <n v="0"/>
    <d v="2025-02-01T00:00:00"/>
    <d v="2025-12-31T00:00:00"/>
    <n v="840000"/>
    <n v="11"/>
    <x v="0"/>
    <s v="expired"/>
    <x v="0"/>
    <x v="0"/>
  </r>
  <r>
    <n v="6"/>
    <n v="6"/>
    <n v="5"/>
    <n v="40000"/>
    <n v="8000"/>
    <d v="2024-06-15T00:00:00"/>
    <d v="2025-06-14T00:00:00"/>
    <n v="480000"/>
    <n v="12"/>
    <x v="0"/>
    <s v="expired"/>
    <x v="1"/>
    <x v="1"/>
  </r>
  <r>
    <n v="7"/>
    <n v="7"/>
    <n v="6"/>
    <n v="52000"/>
    <n v="0"/>
    <d v="2024-08-01T00:00:00"/>
    <d v="2024-07-31T00:00:00"/>
    <n v="624000"/>
    <n v="0"/>
    <x v="1"/>
    <s v="invalid"/>
    <x v="1"/>
    <x v="1"/>
  </r>
  <r>
    <n v="8"/>
    <n v="8"/>
    <n v="7"/>
    <n v="38000"/>
    <n v="12000"/>
    <d v="2023-09-01T00:00:00"/>
    <m/>
    <n v="456000"/>
    <n v="28"/>
    <x v="0"/>
    <s v="ongoing"/>
    <x v="1"/>
    <x v="1"/>
  </r>
  <r>
    <n v="9"/>
    <n v="9"/>
    <n v="8"/>
    <n v="60000"/>
    <n v="0"/>
    <d v="2025-01-01T00:00:00"/>
    <m/>
    <n v="720000"/>
    <n v="12"/>
    <x v="0"/>
    <s v="ongoing"/>
    <x v="1"/>
    <x v="1"/>
  </r>
  <r>
    <n v="10"/>
    <n v="10"/>
    <n v="2"/>
    <n v="45000"/>
    <n v="1000"/>
    <d v="2024-02-01T00:00:00"/>
    <d v="2024-12-31T00:00:00"/>
    <n v="540000"/>
    <n v="11"/>
    <x v="0"/>
    <s v="expired"/>
    <x v="1"/>
    <x v="1"/>
  </r>
  <r>
    <n v="11"/>
    <n v="11"/>
    <n v="9"/>
    <n v="31000"/>
    <n v="0"/>
    <d v="2023-05-01T00:00:00"/>
    <d v="2024-04-30T00:00:00"/>
    <n v="372000"/>
    <n v="12"/>
    <x v="0"/>
    <s v="expired"/>
    <x v="2"/>
    <x v="2"/>
  </r>
  <r>
    <n v="12"/>
    <n v="12"/>
    <n v="10"/>
    <n v="47000"/>
    <n v="3000"/>
    <d v="2024-10-01T00:00:00"/>
    <d v="2025-09-30T00:00:00"/>
    <n v="564000"/>
    <n v="12"/>
    <x v="0"/>
    <s v="expired"/>
    <x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AF8AC1-B2F9-443D-BDDD-DEFDDD9BB83D}" name="PivotTable5"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47:C54" firstHeaderRow="1" firstDataRow="1" firstDataCol="1"/>
  <pivotFields count="13">
    <pivotField showAll="0"/>
    <pivotField showAll="0"/>
    <pivotField showAll="0"/>
    <pivotField dataField="1" showAll="0"/>
    <pivotField showAll="0"/>
    <pivotField numFmtId="14" showAll="0"/>
    <pivotField showAll="0"/>
    <pivotField showAll="0"/>
    <pivotField showAll="0"/>
    <pivotField showAll="0"/>
    <pivotField showAll="0"/>
    <pivotField axis="axisRow" showAll="0">
      <items count="4">
        <item x="1"/>
        <item x="0"/>
        <item x="2"/>
        <item t="default"/>
      </items>
    </pivotField>
    <pivotField axis="axisRow" showAll="0">
      <items count="4">
        <item x="2"/>
        <item x="0"/>
        <item x="1"/>
        <item t="default"/>
      </items>
    </pivotField>
  </pivotFields>
  <rowFields count="2">
    <field x="12"/>
    <field x="11"/>
  </rowFields>
  <rowItems count="7">
    <i>
      <x/>
    </i>
    <i r="1">
      <x v="2"/>
    </i>
    <i>
      <x v="1"/>
    </i>
    <i r="1">
      <x v="1"/>
    </i>
    <i>
      <x v="2"/>
    </i>
    <i r="1">
      <x/>
    </i>
    <i t="grand">
      <x/>
    </i>
  </rowItems>
  <colItems count="1">
    <i/>
  </colItems>
  <dataFields count="1">
    <dataField name="Average of rent_per_month" fld="3" subtotal="average"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CF61E05-395A-4142-8F78-C2BF5940C459}"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18:C22" firstHeaderRow="1" firstDataRow="1" firstDataCol="1"/>
  <pivotFields count="13">
    <pivotField showAll="0"/>
    <pivotField showAll="0"/>
    <pivotField showAll="0"/>
    <pivotField showAll="0"/>
    <pivotField dataField="1" showAll="0"/>
    <pivotField numFmtId="14" showAll="0"/>
    <pivotField showAll="0"/>
    <pivotField showAll="0"/>
    <pivotField showAll="0"/>
    <pivotField showAll="0"/>
    <pivotField showAll="0"/>
    <pivotField axis="axisRow" showAll="0" measureFilter="1">
      <items count="4">
        <item x="1"/>
        <item x="0"/>
        <item x="2"/>
        <item t="default"/>
      </items>
    </pivotField>
    <pivotField showAll="0">
      <items count="4">
        <item x="2"/>
        <item x="0"/>
        <item x="1"/>
        <item t="default"/>
      </items>
    </pivotField>
  </pivotFields>
  <rowFields count="1">
    <field x="11"/>
  </rowFields>
  <rowItems count="4">
    <i>
      <x/>
    </i>
    <i>
      <x v="1"/>
    </i>
    <i>
      <x v="2"/>
    </i>
    <i t="grand">
      <x/>
    </i>
  </rowItems>
  <colItems count="1">
    <i/>
  </colItems>
  <dataFields count="1">
    <dataField name="Sum of arrears" fld="4" baseField="0" baseItem="0"/>
  </dataFields>
  <chartFormats count="5">
    <chartFormat chart="8" format="0"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 chart="11" format="6">
      <pivotArea type="data" outline="0" fieldPosition="0">
        <references count="2">
          <reference field="4294967294" count="1" selected="0">
            <x v="0"/>
          </reference>
          <reference field="11" count="1" selected="0">
            <x v="0"/>
          </reference>
        </references>
      </pivotArea>
    </chartFormat>
    <chartFormat chart="11" format="7">
      <pivotArea type="data" outline="0" fieldPosition="0">
        <references count="2">
          <reference field="4294967294" count="1" selected="0">
            <x v="0"/>
          </reference>
          <reference field="11" count="1" selected="0">
            <x v="1"/>
          </reference>
        </references>
      </pivotArea>
    </chartFormat>
    <chartFormat chart="11" format="8">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filters count="1">
    <filter fld="11"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ED71C48-AF6C-4CC9-95DC-4C1EE28A38CF}"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7" firstHeaderRow="0" firstDataRow="1" firstDataCol="1" rowPageCount="1" colPageCount="1"/>
  <pivotFields count="13">
    <pivotField showAll="0"/>
    <pivotField showAll="0"/>
    <pivotField showAll="0"/>
    <pivotField dataField="1" showAll="0"/>
    <pivotField dataField="1" showAll="0"/>
    <pivotField numFmtId="14" showAll="0"/>
    <pivotField showAll="0"/>
    <pivotField showAll="0"/>
    <pivotField showAll="0"/>
    <pivotField axis="axisPage" multipleItemSelectionAllowed="1" showAll="0">
      <items count="3">
        <item h="1" x="1"/>
        <item x="0"/>
        <item t="default"/>
      </items>
    </pivotField>
    <pivotField showAll="0"/>
    <pivotField showAll="0"/>
    <pivotField axis="axisRow" showAll="0">
      <items count="4">
        <item x="2"/>
        <item x="0"/>
        <item x="1"/>
        <item t="default"/>
      </items>
    </pivotField>
  </pivotFields>
  <rowFields count="1">
    <field x="12"/>
  </rowFields>
  <rowItems count="4">
    <i>
      <x/>
    </i>
    <i>
      <x v="1"/>
    </i>
    <i>
      <x v="2"/>
    </i>
    <i t="grand">
      <x/>
    </i>
  </rowItems>
  <colFields count="1">
    <field x="-2"/>
  </colFields>
  <colItems count="2">
    <i>
      <x/>
    </i>
    <i i="1">
      <x v="1"/>
    </i>
  </colItems>
  <pageFields count="1">
    <pageField fld="9" hier="-1"/>
  </pageFields>
  <dataFields count="2">
    <dataField name="Sum of rent_per_month" fld="3" baseField="0" baseItem="0"/>
    <dataField name="Sum of arrears" fld="4"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5" xr16:uid="{7F7F62B1-E086-444D-AC45-4DACE717CE47}" autoFormatId="16" applyNumberFormats="0" applyBorderFormats="0" applyFontFormats="0" applyPatternFormats="0" applyAlignmentFormats="0" applyWidthHeightFormats="0">
  <queryTableRefresh nextId="7" unboundColumnsRight="2">
    <queryTableFields count="6">
      <queryTableField id="1" name="id" tableColumnId="1"/>
      <queryTableField id="2" name="property_id" tableColumnId="2"/>
      <queryTableField id="3" name="name" tableColumnId="3"/>
      <queryTableField id="4" name="size" tableColumnId="4"/>
      <queryTableField id="5" dataBound="0" tableColumnId="5"/>
      <queryTableField id="6" dataBound="0"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4" xr16:uid="{DB6A954A-5465-4C61-8312-0920E7A77F38}" autoFormatId="16" applyNumberFormats="0" applyBorderFormats="0" applyFontFormats="0" applyPatternFormats="0" applyAlignmentFormats="0" applyWidthHeightFormats="0">
  <queryTableRefresh nextId="4">
    <queryTableFields count="3">
      <queryTableField id="1" name="id" tableColumnId="1"/>
      <queryTableField id="2" name="name" tableColumnId="2"/>
      <queryTableField id="3" name="email" tableColumnId="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3" xr16:uid="{15AF308A-318B-425B-97E7-354D5EBF6382}" autoFormatId="16" applyNumberFormats="0" applyBorderFormats="0" applyFontFormats="0" applyPatternFormats="0" applyAlignmentFormats="0" applyWidthHeightFormats="0">
  <queryTableRefresh nextId="4">
    <queryTableFields count="3">
      <queryTableField id="1" name="id" tableColumnId="1"/>
      <queryTableField id="2" name="name" tableColumnId="2"/>
      <queryTableField id="3" name="location_id" tableColumnId="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2" xr16:uid="{19FCF6CC-CE74-428C-A085-EA44076B406B}" autoFormatId="16" applyNumberFormats="0" applyBorderFormats="0" applyFontFormats="0" applyPatternFormats="0" applyAlignmentFormats="0" applyWidthHeightFormats="0">
  <queryTableRefresh nextId="3">
    <queryTableFields count="2">
      <queryTableField id="1" name="id" tableColumnId="1"/>
      <queryTableField id="2" name="name" tableColumnId="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1" xr16:uid="{D4F6EAF7-B8EF-409C-9A2F-2C68B2EDCCEE}" autoFormatId="16" applyNumberFormats="0" applyBorderFormats="0" applyFontFormats="0" applyPatternFormats="0" applyAlignmentFormats="0" applyWidthHeightFormats="0">
  <queryTableRefresh nextId="14" unboundColumnsRight="2">
    <queryTableFields count="13">
      <queryTableField id="1" name="id" tableColumnId="1"/>
      <queryTableField id="2" name="unit_id" tableColumnId="2"/>
      <queryTableField id="3" name="tenant_id" tableColumnId="3"/>
      <queryTableField id="4" name="rent_per_month" tableColumnId="4"/>
      <queryTableField id="5" name="arrears" tableColumnId="5"/>
      <queryTableField id="6" name="start_date" tableColumnId="6"/>
      <queryTableField id="7" name="end_date" tableColumnId="7"/>
      <queryTableField id="8" name="annual_rent" tableColumnId="8"/>
      <queryTableField id="9" name="lease_duration_months" tableColumnId="9"/>
      <queryTableField id="10" name="valid_lease" tableColumnId="10"/>
      <queryTableField id="11" name="lease_status" tableColumnId="11"/>
      <queryTableField id="12" dataBound="0" tableColumnId="12"/>
      <queryTableField id="13" dataBound="0"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perty_Location" xr10:uid="{60D82A1B-39DF-40E9-AEA5-7CFD10A5A704}" sourceName="Property Location">
  <pivotTables>
    <pivotTable tabId="8" name="PivotTable1"/>
    <pivotTable tabId="8" name="PivotTable2"/>
    <pivotTable tabId="8" name="PivotTable5"/>
  </pivotTables>
  <data>
    <tabular pivotCacheId="883687241">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perty Location" xr10:uid="{F48CB97F-A91D-4F30-AEF9-433F3B38738B}" cache="Slicer_Property_Location" caption="Property Location"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76A628D-C1A3-4B88-AE57-BF947B96CC8F}" name="units" displayName="units" ref="A1:F21" tableType="queryTable" totalsRowShown="0">
  <autoFilter ref="A1:F21" xr:uid="{F76A628D-C1A3-4B88-AE57-BF947B96CC8F}"/>
  <tableColumns count="6">
    <tableColumn id="1" xr3:uid="{C8E1C7D1-7370-4D06-B3BA-B68150FB8B88}" uniqueName="1" name="id" queryTableFieldId="1"/>
    <tableColumn id="2" xr3:uid="{6B94D7E8-7BA4-4496-B92B-3E62927EF639}" uniqueName="2" name="property_id" queryTableFieldId="2"/>
    <tableColumn id="3" xr3:uid="{4AE1CF4A-8E53-471E-9526-9B323EF2B8FE}" uniqueName="3" name="name" queryTableFieldId="3" dataDxfId="10"/>
    <tableColumn id="4" xr3:uid="{7E9D5BD0-5AE8-4101-97DC-534183D067C6}" uniqueName="4" name="size" queryTableFieldId="4"/>
    <tableColumn id="5" xr3:uid="{2B167561-5646-42F9-A8FD-233253932BB8}" uniqueName="5" name="Property name" queryTableFieldId="5" dataDxfId="3">
      <calculatedColumnFormula>VLOOKUP(B2, properties!A:B, 2, FALSE)</calculatedColumnFormula>
    </tableColumn>
    <tableColumn id="6" xr3:uid="{3ECADC35-0559-4207-83B8-4F4D515436ED}" uniqueName="6" name="Property Location" queryTableFieldId="6" dataDxfId="2">
      <calculatedColumnFormula>VLOOKUP(VLOOKUP(B2, properties!A:C, 3, FALSE), locations!A:B, 2, FALSE)</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91D2A44-837C-40D9-8B82-F37D86166C48}" name="tenants" displayName="tenants" ref="A1:C16" tableType="queryTable" totalsRowShown="0">
  <autoFilter ref="A1:C16" xr:uid="{191D2A44-837C-40D9-8B82-F37D86166C48}"/>
  <tableColumns count="3">
    <tableColumn id="1" xr3:uid="{8A9D54C4-940F-4CCE-9B5D-ECC1F9FD887C}" uniqueName="1" name="id" queryTableFieldId="1"/>
    <tableColumn id="2" xr3:uid="{F4156BDC-EFD2-4F84-AC21-6911079D9F86}" uniqueName="2" name="name" queryTableFieldId="2" dataDxfId="9"/>
    <tableColumn id="3" xr3:uid="{4CAC1655-ED85-42A4-9F13-BD9DFA3F1464}" uniqueName="3" name="email" queryTableFieldId="3" dataDxfId="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90EC5D0-F5FA-410F-BE43-A756CA6323CD}" name="properties" displayName="properties" ref="A1:C6" tableType="queryTable" totalsRowShown="0">
  <autoFilter ref="A1:C6" xr:uid="{E90EC5D0-F5FA-410F-BE43-A756CA6323CD}"/>
  <tableColumns count="3">
    <tableColumn id="1" xr3:uid="{BA775851-C3D1-4BDD-B4C9-242B67FA5A82}" uniqueName="1" name="id" queryTableFieldId="1"/>
    <tableColumn id="2" xr3:uid="{4FE14982-92D6-4A67-8F32-CE2632C8D2B5}" uniqueName="2" name="name" queryTableFieldId="2" dataDxfId="7"/>
    <tableColumn id="3" xr3:uid="{2CCA7EF9-7237-4734-A5DE-2B834193EDD2}" uniqueName="3" name="location_id" queryTableFieldId="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4BE72A6-DD03-4030-B090-FF6F1EEE504C}" name="locations" displayName="locations" ref="A1:B4" tableType="queryTable" totalsRowShown="0">
  <autoFilter ref="A1:B4" xr:uid="{74BE72A6-DD03-4030-B090-FF6F1EEE504C}"/>
  <tableColumns count="2">
    <tableColumn id="1" xr3:uid="{AADE457B-8C5F-43F1-A0EE-DC3D3DA438D2}" uniqueName="1" name="id" queryTableFieldId="1"/>
    <tableColumn id="2" xr3:uid="{297D7E41-A2D5-435B-AE49-56062AFB7852}" uniqueName="2" name="name" queryTableFieldId="2" dataDxfId="6"/>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EF005DA-B3AC-4563-B362-A14C6473AA4B}" name="leases" displayName="leases" ref="A1:M13" tableType="queryTable" totalsRowShown="0">
  <autoFilter ref="A1:M13" xr:uid="{2EF005DA-B3AC-4563-B362-A14C6473AA4B}"/>
  <tableColumns count="13">
    <tableColumn id="1" xr3:uid="{A2B7D2E1-98BC-43BA-80CA-FBC5BE7555FD}" uniqueName="1" name="id" queryTableFieldId="1"/>
    <tableColumn id="2" xr3:uid="{12CB9B73-AB57-4594-8DFC-EC4014FEEDD3}" uniqueName="2" name="unit_id" queryTableFieldId="2"/>
    <tableColumn id="3" xr3:uid="{D0372769-B159-42C2-8791-2A1B973FE08F}" uniqueName="3" name="tenant_id" queryTableFieldId="3"/>
    <tableColumn id="4" xr3:uid="{98211AF2-C218-4302-80FB-ED1F7B365FC6}" uniqueName="4" name="rent_per_month" queryTableFieldId="4"/>
    <tableColumn id="5" xr3:uid="{F673F2D5-7B3D-4863-A300-C996F7520B2E}" uniqueName="5" name="arrears" queryTableFieldId="5"/>
    <tableColumn id="6" xr3:uid="{6F65344C-E282-4C0B-B54B-B99E9247EEA0}" uniqueName="6" name="start_date" queryTableFieldId="6" dataDxfId="5"/>
    <tableColumn id="7" xr3:uid="{57330CCA-9E05-4926-8688-C5C36C847BFA}" uniqueName="7" name="end_date" queryTableFieldId="7" dataDxfId="4"/>
    <tableColumn id="8" xr3:uid="{50C031CB-1027-4DAB-92CB-0B373DC37DEF}" uniqueName="8" name="annual_rent" queryTableFieldId="8"/>
    <tableColumn id="9" xr3:uid="{1344CAB0-10BC-42D3-80B3-98239893C5D5}" uniqueName="9" name="lease_duration_months" queryTableFieldId="9"/>
    <tableColumn id="10" xr3:uid="{20F0F928-0A27-4A2B-ABA4-92E6E5FE33B1}" uniqueName="10" name="valid_lease" queryTableFieldId="10"/>
    <tableColumn id="11" xr3:uid="{31D7C55D-293D-4495-B674-8CBB8886846A}" uniqueName="11" name="lease_status" queryTableFieldId="11"/>
    <tableColumn id="12" xr3:uid="{9CB08B9B-E456-41BB-AF03-FD54AA9088BF}" uniqueName="12" name="Property name " queryTableFieldId="12" dataDxfId="1">
      <calculatedColumnFormula>VLOOKUP(B2, units!A:E, 5, FALSE)</calculatedColumnFormula>
    </tableColumn>
    <tableColumn id="13" xr3:uid="{4B6D63D0-EA39-4E54-BC7A-1DC48E8CD444}" uniqueName="13" name="Property Location" queryTableFieldId="13" dataDxfId="0">
      <calculatedColumnFormula>VLOOKUP(B2, units!A:F, 6, FALSE)</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E450B-E051-4DA2-B0E0-1D6977A1A002}">
  <dimension ref="A1:F21"/>
  <sheetViews>
    <sheetView workbookViewId="0">
      <selection activeCell="F2" sqref="F2"/>
    </sheetView>
  </sheetViews>
  <sheetFormatPr defaultRowHeight="15"/>
  <cols>
    <col min="1" max="1" width="5" bestFit="1" customWidth="1"/>
    <col min="2" max="2" width="13.7109375" bestFit="1" customWidth="1"/>
    <col min="3" max="3" width="8.28515625" bestFit="1" customWidth="1"/>
    <col min="4" max="4" width="6.7109375" bestFit="1" customWidth="1"/>
    <col min="5" max="5" width="24.42578125" customWidth="1"/>
    <col min="6" max="6" width="21" customWidth="1"/>
  </cols>
  <sheetData>
    <row r="1" spans="1:6">
      <c r="A1" t="s">
        <v>0</v>
      </c>
      <c r="B1" t="s">
        <v>55</v>
      </c>
      <c r="C1" t="s">
        <v>14</v>
      </c>
      <c r="D1" t="s">
        <v>56</v>
      </c>
      <c r="E1" t="s">
        <v>77</v>
      </c>
      <c r="F1" t="s">
        <v>78</v>
      </c>
    </row>
    <row r="2" spans="1:6">
      <c r="A2">
        <v>1</v>
      </c>
      <c r="B2">
        <v>1</v>
      </c>
      <c r="C2" t="s">
        <v>57</v>
      </c>
      <c r="D2">
        <v>75</v>
      </c>
      <c r="E2" t="str">
        <f>VLOOKUP(B2, properties!A:B, 2, FALSE)</f>
        <v>NSSF Towers</v>
      </c>
      <c r="F2" t="str">
        <f>VLOOKUP(VLOOKUP(B2, properties!A:C, 3, FALSE), locations!A:B, 2, FALSE)</f>
        <v>Nairobi Cbd</v>
      </c>
    </row>
    <row r="3" spans="1:6">
      <c r="A3">
        <v>2</v>
      </c>
      <c r="B3">
        <v>1</v>
      </c>
      <c r="C3" t="s">
        <v>58</v>
      </c>
      <c r="D3">
        <v>80.5</v>
      </c>
      <c r="E3" t="str">
        <f>VLOOKUP(B3, properties!A:B, 2, FALSE)</f>
        <v>NSSF Towers</v>
      </c>
      <c r="F3" t="str">
        <f>VLOOKUP(VLOOKUP(B3, properties!A:C, 3, FALSE), locations!A:B, 2, FALSE)</f>
        <v>Nairobi Cbd</v>
      </c>
    </row>
    <row r="4" spans="1:6">
      <c r="A4">
        <v>3</v>
      </c>
      <c r="B4">
        <v>1</v>
      </c>
      <c r="C4" t="s">
        <v>59</v>
      </c>
      <c r="D4">
        <v>65</v>
      </c>
      <c r="E4" t="str">
        <f>VLOOKUP(B4, properties!A:B, 2, FALSE)</f>
        <v>NSSF Towers</v>
      </c>
      <c r="F4" t="str">
        <f>VLOOKUP(VLOOKUP(B4, properties!A:C, 3, FALSE), locations!A:B, 2, FALSE)</f>
        <v>Nairobi Cbd</v>
      </c>
    </row>
    <row r="5" spans="1:6">
      <c r="A5">
        <v>4</v>
      </c>
      <c r="B5">
        <v>1</v>
      </c>
      <c r="C5" t="s">
        <v>60</v>
      </c>
      <c r="D5">
        <v>92</v>
      </c>
      <c r="E5" t="str">
        <f>VLOOKUP(B5, properties!A:B, 2, FALSE)</f>
        <v>NSSF Towers</v>
      </c>
      <c r="F5" t="str">
        <f>VLOOKUP(VLOOKUP(B5, properties!A:C, 3, FALSE), locations!A:B, 2, FALSE)</f>
        <v>Nairobi Cbd</v>
      </c>
    </row>
    <row r="6" spans="1:6">
      <c r="A6">
        <v>5</v>
      </c>
      <c r="B6">
        <v>1</v>
      </c>
      <c r="C6" t="s">
        <v>61</v>
      </c>
      <c r="D6">
        <v>120</v>
      </c>
      <c r="E6" t="str">
        <f>VLOOKUP(B6, properties!A:B, 2, FALSE)</f>
        <v>NSSF Towers</v>
      </c>
      <c r="F6" t="str">
        <f>VLOOKUP(VLOOKUP(B6, properties!A:C, 3, FALSE), locations!A:B, 2, FALSE)</f>
        <v>Nairobi Cbd</v>
      </c>
    </row>
    <row r="7" spans="1:6">
      <c r="A7">
        <v>6</v>
      </c>
      <c r="B7">
        <v>2</v>
      </c>
      <c r="C7" t="s">
        <v>62</v>
      </c>
      <c r="D7">
        <v>55</v>
      </c>
      <c r="E7" t="str">
        <f>VLOOKUP(B7, properties!A:B, 2, FALSE)</f>
        <v>Delta Corner</v>
      </c>
      <c r="F7" t="str">
        <f>VLOOKUP(VLOOKUP(B7, properties!A:C, 3, FALSE), locations!A:B, 2, FALSE)</f>
        <v>Westlands</v>
      </c>
    </row>
    <row r="8" spans="1:6">
      <c r="A8">
        <v>7</v>
      </c>
      <c r="B8">
        <v>2</v>
      </c>
      <c r="C8" t="s">
        <v>63</v>
      </c>
      <c r="D8">
        <v>60</v>
      </c>
      <c r="E8" t="str">
        <f>VLOOKUP(B8, properties!A:B, 2, FALSE)</f>
        <v>Delta Corner</v>
      </c>
      <c r="F8" t="str">
        <f>VLOOKUP(VLOOKUP(B8, properties!A:C, 3, FALSE), locations!A:B, 2, FALSE)</f>
        <v>Westlands</v>
      </c>
    </row>
    <row r="9" spans="1:6">
      <c r="A9">
        <v>8</v>
      </c>
      <c r="B9">
        <v>2</v>
      </c>
      <c r="C9" t="s">
        <v>64</v>
      </c>
      <c r="D9">
        <v>85</v>
      </c>
      <c r="E9" t="str">
        <f>VLOOKUP(B9, properties!A:B, 2, FALSE)</f>
        <v>Delta Corner</v>
      </c>
      <c r="F9" t="str">
        <f>VLOOKUP(VLOOKUP(B9, properties!A:C, 3, FALSE), locations!A:B, 2, FALSE)</f>
        <v>Westlands</v>
      </c>
    </row>
    <row r="10" spans="1:6">
      <c r="A10">
        <v>9</v>
      </c>
      <c r="B10">
        <v>2</v>
      </c>
      <c r="C10" t="s">
        <v>65</v>
      </c>
      <c r="D10">
        <v>100</v>
      </c>
      <c r="E10" t="str">
        <f>VLOOKUP(B10, properties!A:B, 2, FALSE)</f>
        <v>Delta Corner</v>
      </c>
      <c r="F10" t="str">
        <f>VLOOKUP(VLOOKUP(B10, properties!A:C, 3, FALSE), locations!A:B, 2, FALSE)</f>
        <v>Westlands</v>
      </c>
    </row>
    <row r="11" spans="1:6">
      <c r="A11">
        <v>10</v>
      </c>
      <c r="B11">
        <v>2</v>
      </c>
      <c r="C11" t="s">
        <v>66</v>
      </c>
      <c r="D11">
        <v>73.5</v>
      </c>
      <c r="E11" t="str">
        <f>VLOOKUP(B11, properties!A:B, 2, FALSE)</f>
        <v>Delta Corner</v>
      </c>
      <c r="F11" t="str">
        <f>VLOOKUP(VLOOKUP(B11, properties!A:C, 3, FALSE), locations!A:B, 2, FALSE)</f>
        <v>Westlands</v>
      </c>
    </row>
    <row r="12" spans="1:6">
      <c r="A12">
        <v>11</v>
      </c>
      <c r="B12">
        <v>3</v>
      </c>
      <c r="C12" t="s">
        <v>67</v>
      </c>
      <c r="D12">
        <v>48</v>
      </c>
      <c r="E12" t="str">
        <f>VLOOKUP(B12, properties!A:B, 2, FALSE)</f>
        <v>The Junction Residences</v>
      </c>
      <c r="F12" t="str">
        <f>VLOOKUP(VLOOKUP(B12, properties!A:C, 3, FALSE), locations!A:B, 2, FALSE)</f>
        <v>Kilimani</v>
      </c>
    </row>
    <row r="13" spans="1:6">
      <c r="A13">
        <v>12</v>
      </c>
      <c r="B13">
        <v>3</v>
      </c>
      <c r="C13" t="s">
        <v>68</v>
      </c>
      <c r="D13">
        <v>52</v>
      </c>
      <c r="E13" t="str">
        <f>VLOOKUP(B13, properties!A:B, 2, FALSE)</f>
        <v>The Junction Residences</v>
      </c>
      <c r="F13" t="str">
        <f>VLOOKUP(VLOOKUP(B13, properties!A:C, 3, FALSE), locations!A:B, 2, FALSE)</f>
        <v>Kilimani</v>
      </c>
    </row>
    <row r="14" spans="1:6">
      <c r="A14">
        <v>13</v>
      </c>
      <c r="B14">
        <v>3</v>
      </c>
      <c r="C14" t="s">
        <v>69</v>
      </c>
      <c r="D14">
        <v>66</v>
      </c>
      <c r="E14" t="str">
        <f>VLOOKUP(B14, properties!A:B, 2, FALSE)</f>
        <v>The Junction Residences</v>
      </c>
      <c r="F14" t="str">
        <f>VLOOKUP(VLOOKUP(B14, properties!A:C, 3, FALSE), locations!A:B, 2, FALSE)</f>
        <v>Kilimani</v>
      </c>
    </row>
    <row r="15" spans="1:6">
      <c r="A15">
        <v>14</v>
      </c>
      <c r="B15">
        <v>3</v>
      </c>
      <c r="C15" t="s">
        <v>70</v>
      </c>
      <c r="D15">
        <v>70</v>
      </c>
      <c r="E15" t="str">
        <f>VLOOKUP(B15, properties!A:B, 2, FALSE)</f>
        <v>The Junction Residences</v>
      </c>
      <c r="F15" t="str">
        <f>VLOOKUP(VLOOKUP(B15, properties!A:C, 3, FALSE), locations!A:B, 2, FALSE)</f>
        <v>Kilimani</v>
      </c>
    </row>
    <row r="16" spans="1:6">
      <c r="A16">
        <v>15</v>
      </c>
      <c r="B16">
        <v>4</v>
      </c>
      <c r="C16" t="s">
        <v>71</v>
      </c>
      <c r="D16">
        <v>64.5</v>
      </c>
      <c r="E16" t="str">
        <f>VLOOKUP(B16, properties!A:B, 2, FALSE)</f>
        <v>Riverside Court</v>
      </c>
      <c r="F16" t="str">
        <f>VLOOKUP(VLOOKUP(B16, properties!A:C, 3, FALSE), locations!A:B, 2, FALSE)</f>
        <v>Westlands</v>
      </c>
    </row>
    <row r="17" spans="1:6">
      <c r="A17">
        <v>16</v>
      </c>
      <c r="B17">
        <v>4</v>
      </c>
      <c r="C17" t="s">
        <v>72</v>
      </c>
      <c r="D17">
        <v>68</v>
      </c>
      <c r="E17" t="str">
        <f>VLOOKUP(B17, properties!A:B, 2, FALSE)</f>
        <v>Riverside Court</v>
      </c>
      <c r="F17" t="str">
        <f>VLOOKUP(VLOOKUP(B17, properties!A:C, 3, FALSE), locations!A:B, 2, FALSE)</f>
        <v>Westlands</v>
      </c>
    </row>
    <row r="18" spans="1:6">
      <c r="A18">
        <v>17</v>
      </c>
      <c r="B18">
        <v>4</v>
      </c>
      <c r="C18" t="s">
        <v>73</v>
      </c>
      <c r="D18">
        <v>90</v>
      </c>
      <c r="E18" t="str">
        <f>VLOOKUP(B18, properties!A:B, 2, FALSE)</f>
        <v>Riverside Court</v>
      </c>
      <c r="F18" t="str">
        <f>VLOOKUP(VLOOKUP(B18, properties!A:C, 3, FALSE), locations!A:B, 2, FALSE)</f>
        <v>Westlands</v>
      </c>
    </row>
    <row r="19" spans="1:6">
      <c r="A19">
        <v>18</v>
      </c>
      <c r="B19">
        <v>5</v>
      </c>
      <c r="C19" t="s">
        <v>74</v>
      </c>
      <c r="D19">
        <v>40</v>
      </c>
      <c r="E19" t="str">
        <f>VLOOKUP(B19, properties!A:B, 2, FALSE)</f>
        <v>Kimathi House</v>
      </c>
      <c r="F19" t="str">
        <f>VLOOKUP(VLOOKUP(B19, properties!A:C, 3, FALSE), locations!A:B, 2, FALSE)</f>
        <v>Nairobi Cbd</v>
      </c>
    </row>
    <row r="20" spans="1:6">
      <c r="A20">
        <v>19</v>
      </c>
      <c r="B20">
        <v>5</v>
      </c>
      <c r="C20" t="s">
        <v>75</v>
      </c>
      <c r="D20">
        <v>58</v>
      </c>
      <c r="E20" t="str">
        <f>VLOOKUP(B20, properties!A:B, 2, FALSE)</f>
        <v>Kimathi House</v>
      </c>
      <c r="F20" t="str">
        <f>VLOOKUP(VLOOKUP(B20, properties!A:C, 3, FALSE), locations!A:B, 2, FALSE)</f>
        <v>Nairobi Cbd</v>
      </c>
    </row>
    <row r="21" spans="1:6">
      <c r="A21">
        <v>20</v>
      </c>
      <c r="B21">
        <v>5</v>
      </c>
      <c r="C21" t="s">
        <v>76</v>
      </c>
      <c r="D21">
        <v>77</v>
      </c>
      <c r="E21" t="str">
        <f>VLOOKUP(B21, properties!A:B, 2, FALSE)</f>
        <v>Kimathi House</v>
      </c>
      <c r="F21" t="str">
        <f>VLOOKUP(VLOOKUP(B21, properties!A:C, 3, FALSE), locations!A:B, 2, FALSE)</f>
        <v>Nairobi Cbd</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3363E-CCE1-4AFB-94D1-F0B2038911CD}">
  <dimension ref="A1:C16"/>
  <sheetViews>
    <sheetView workbookViewId="0"/>
  </sheetViews>
  <sheetFormatPr defaultRowHeight="15"/>
  <cols>
    <col min="1" max="1" width="5" bestFit="1" customWidth="1"/>
    <col min="2" max="2" width="15.42578125" bestFit="1" customWidth="1"/>
    <col min="3" max="3" width="29.42578125" bestFit="1" customWidth="1"/>
  </cols>
  <sheetData>
    <row r="1" spans="1:3">
      <c r="A1" t="s">
        <v>0</v>
      </c>
      <c r="B1" t="s">
        <v>14</v>
      </c>
      <c r="C1" t="s">
        <v>24</v>
      </c>
    </row>
    <row r="2" spans="1:3">
      <c r="A2">
        <v>1</v>
      </c>
      <c r="B2" t="s">
        <v>25</v>
      </c>
      <c r="C2" t="s">
        <v>26</v>
      </c>
    </row>
    <row r="3" spans="1:3">
      <c r="A3">
        <v>2</v>
      </c>
      <c r="B3" t="s">
        <v>27</v>
      </c>
      <c r="C3" t="s">
        <v>28</v>
      </c>
    </row>
    <row r="4" spans="1:3">
      <c r="A4">
        <v>3</v>
      </c>
      <c r="B4" t="s">
        <v>29</v>
      </c>
      <c r="C4" t="s">
        <v>30</v>
      </c>
    </row>
    <row r="5" spans="1:3">
      <c r="A5">
        <v>4</v>
      </c>
      <c r="B5" t="s">
        <v>31</v>
      </c>
      <c r="C5" t="s">
        <v>32</v>
      </c>
    </row>
    <row r="6" spans="1:3">
      <c r="A6">
        <v>5</v>
      </c>
      <c r="B6" t="s">
        <v>33</v>
      </c>
      <c r="C6" t="s">
        <v>34</v>
      </c>
    </row>
    <row r="7" spans="1:3">
      <c r="A7">
        <v>6</v>
      </c>
      <c r="B7" t="s">
        <v>35</v>
      </c>
      <c r="C7" t="s">
        <v>36</v>
      </c>
    </row>
    <row r="8" spans="1:3">
      <c r="A8">
        <v>7</v>
      </c>
      <c r="B8" t="s">
        <v>37</v>
      </c>
      <c r="C8" t="s">
        <v>38</v>
      </c>
    </row>
    <row r="9" spans="1:3">
      <c r="A9">
        <v>8</v>
      </c>
      <c r="B9" t="s">
        <v>39</v>
      </c>
      <c r="C9" t="s">
        <v>40</v>
      </c>
    </row>
    <row r="10" spans="1:3">
      <c r="A10">
        <v>9</v>
      </c>
      <c r="B10" t="s">
        <v>41</v>
      </c>
      <c r="C10" t="s">
        <v>42</v>
      </c>
    </row>
    <row r="11" spans="1:3">
      <c r="A11">
        <v>10</v>
      </c>
      <c r="B11" t="s">
        <v>43</v>
      </c>
      <c r="C11" t="s">
        <v>44</v>
      </c>
    </row>
    <row r="12" spans="1:3">
      <c r="A12">
        <v>11</v>
      </c>
      <c r="B12" t="s">
        <v>45</v>
      </c>
      <c r="C12" t="s">
        <v>46</v>
      </c>
    </row>
    <row r="13" spans="1:3">
      <c r="A13">
        <v>12</v>
      </c>
      <c r="B13" t="s">
        <v>47</v>
      </c>
      <c r="C13" t="s">
        <v>48</v>
      </c>
    </row>
    <row r="14" spans="1:3">
      <c r="A14">
        <v>13</v>
      </c>
      <c r="B14" t="s">
        <v>49</v>
      </c>
      <c r="C14" t="s">
        <v>50</v>
      </c>
    </row>
    <row r="15" spans="1:3">
      <c r="A15">
        <v>14</v>
      </c>
      <c r="B15" t="s">
        <v>51</v>
      </c>
      <c r="C15" t="s">
        <v>52</v>
      </c>
    </row>
    <row r="16" spans="1:3">
      <c r="A16">
        <v>15</v>
      </c>
      <c r="B16" t="s">
        <v>53</v>
      </c>
      <c r="C16" t="s">
        <v>54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28BFA-F73B-4D42-946D-ED527ABB6044}">
  <dimension ref="A1:C6"/>
  <sheetViews>
    <sheetView workbookViewId="0">
      <selection activeCell="B5" sqref="B5"/>
    </sheetView>
  </sheetViews>
  <sheetFormatPr defaultRowHeight="15"/>
  <cols>
    <col min="1" max="1" width="5" bestFit="1" customWidth="1"/>
    <col min="2" max="2" width="23" bestFit="1" customWidth="1"/>
    <col min="3" max="3" width="13.140625" bestFit="1" customWidth="1"/>
  </cols>
  <sheetData>
    <row r="1" spans="1:3">
      <c r="A1" t="s">
        <v>0</v>
      </c>
      <c r="B1" t="s">
        <v>14</v>
      </c>
      <c r="C1" t="s">
        <v>18</v>
      </c>
    </row>
    <row r="2" spans="1:3">
      <c r="A2">
        <v>1</v>
      </c>
      <c r="B2" t="s">
        <v>19</v>
      </c>
      <c r="C2">
        <v>1</v>
      </c>
    </row>
    <row r="3" spans="1:3">
      <c r="A3">
        <v>2</v>
      </c>
      <c r="B3" t="s">
        <v>20</v>
      </c>
      <c r="C3">
        <v>2</v>
      </c>
    </row>
    <row r="4" spans="1:3">
      <c r="A4">
        <v>3</v>
      </c>
      <c r="B4" t="s">
        <v>21</v>
      </c>
      <c r="C4">
        <v>3</v>
      </c>
    </row>
    <row r="5" spans="1:3">
      <c r="A5">
        <v>4</v>
      </c>
      <c r="B5" t="s">
        <v>22</v>
      </c>
      <c r="C5">
        <v>2</v>
      </c>
    </row>
    <row r="6" spans="1:3">
      <c r="A6">
        <v>5</v>
      </c>
      <c r="B6" t="s">
        <v>23</v>
      </c>
      <c r="C6">
        <v>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24E1C-4681-445F-A105-9FCE1B3BA43C}">
  <dimension ref="A1:B4"/>
  <sheetViews>
    <sheetView workbookViewId="0">
      <selection sqref="A1:B4"/>
    </sheetView>
  </sheetViews>
  <sheetFormatPr defaultRowHeight="15"/>
  <cols>
    <col min="1" max="1" width="5" bestFit="1" customWidth="1"/>
    <col min="2" max="2" width="11.42578125" bestFit="1" customWidth="1"/>
  </cols>
  <sheetData>
    <row r="1" spans="1:2">
      <c r="A1" t="s">
        <v>0</v>
      </c>
      <c r="B1" t="s">
        <v>14</v>
      </c>
    </row>
    <row r="2" spans="1:2">
      <c r="A2">
        <v>1</v>
      </c>
      <c r="B2" t="s">
        <v>15</v>
      </c>
    </row>
    <row r="3" spans="1:2">
      <c r="A3">
        <v>2</v>
      </c>
      <c r="B3" t="s">
        <v>16</v>
      </c>
    </row>
    <row r="4" spans="1:2">
      <c r="A4">
        <v>3</v>
      </c>
      <c r="B4" t="s">
        <v>17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19B84-354D-43D0-A81A-22A2BC02D9BE}">
  <dimension ref="A1:D54"/>
  <sheetViews>
    <sheetView topLeftCell="D43" workbookViewId="0">
      <selection activeCell="M61" sqref="M61"/>
    </sheetView>
  </sheetViews>
  <sheetFormatPr defaultRowHeight="15"/>
  <cols>
    <col min="1" max="1" width="13.140625" bestFit="1" customWidth="1"/>
    <col min="2" max="2" width="26.7109375" bestFit="1" customWidth="1"/>
    <col min="3" max="3" width="26.140625" bestFit="1" customWidth="1"/>
    <col min="4" max="5" width="16.28515625" customWidth="1"/>
  </cols>
  <sheetData>
    <row r="1" spans="1:3">
      <c r="A1" s="3" t="s">
        <v>9</v>
      </c>
      <c r="B1" s="4">
        <v>1</v>
      </c>
    </row>
    <row r="3" spans="1:3">
      <c r="A3" s="3" t="s">
        <v>80</v>
      </c>
      <c r="B3" t="s">
        <v>82</v>
      </c>
      <c r="C3" t="s">
        <v>83</v>
      </c>
    </row>
    <row r="4" spans="1:3">
      <c r="A4" s="4" t="s">
        <v>17</v>
      </c>
      <c r="B4" s="5">
        <v>78000</v>
      </c>
      <c r="C4" s="5">
        <v>3000</v>
      </c>
    </row>
    <row r="5" spans="1:3">
      <c r="A5" s="4" t="s">
        <v>15</v>
      </c>
      <c r="B5" s="5">
        <v>265000</v>
      </c>
      <c r="C5" s="5">
        <v>4000</v>
      </c>
    </row>
    <row r="6" spans="1:3">
      <c r="A6" s="4" t="s">
        <v>16</v>
      </c>
      <c r="B6" s="5">
        <v>183000</v>
      </c>
      <c r="C6" s="5">
        <v>21000</v>
      </c>
    </row>
    <row r="7" spans="1:3">
      <c r="A7" s="4" t="s">
        <v>81</v>
      </c>
      <c r="B7" s="5">
        <v>526000</v>
      </c>
      <c r="C7" s="5">
        <v>28000</v>
      </c>
    </row>
    <row r="18" spans="2:3">
      <c r="B18" s="3" t="s">
        <v>80</v>
      </c>
      <c r="C18" t="s">
        <v>83</v>
      </c>
    </row>
    <row r="19" spans="2:3">
      <c r="B19" s="4" t="s">
        <v>20</v>
      </c>
      <c r="C19" s="5">
        <v>21000</v>
      </c>
    </row>
    <row r="20" spans="2:3">
      <c r="B20" s="4" t="s">
        <v>19</v>
      </c>
      <c r="C20" s="5">
        <v>4000</v>
      </c>
    </row>
    <row r="21" spans="2:3">
      <c r="B21" s="4" t="s">
        <v>21</v>
      </c>
      <c r="C21" s="5">
        <v>3000</v>
      </c>
    </row>
    <row r="22" spans="2:3">
      <c r="B22" s="4" t="s">
        <v>81</v>
      </c>
      <c r="C22" s="5">
        <v>28000</v>
      </c>
    </row>
    <row r="33" spans="1:4">
      <c r="A33" s="6" t="s">
        <v>77</v>
      </c>
      <c r="B33" s="6" t="s">
        <v>84</v>
      </c>
      <c r="C33" s="6" t="s">
        <v>85</v>
      </c>
      <c r="D33" s="6" t="s">
        <v>86</v>
      </c>
    </row>
    <row r="34" spans="1:4">
      <c r="A34" t="s">
        <v>19</v>
      </c>
      <c r="B34">
        <f>COUNTIF(units!E:E, A34)</f>
        <v>5</v>
      </c>
      <c r="C34">
        <f>COUNTIFS(leases!L:L, A34, leases!J:J, 1)</f>
        <v>5</v>
      </c>
      <c r="D34" s="7">
        <f>C34/B34</f>
        <v>1</v>
      </c>
    </row>
    <row r="35" spans="1:4">
      <c r="A35" t="s">
        <v>20</v>
      </c>
      <c r="B35">
        <f>COUNTIF(units!E:E, A35)</f>
        <v>5</v>
      </c>
      <c r="C35">
        <f>COUNTIFS(leases!L:L, A35, leases!J:J, 1)</f>
        <v>4</v>
      </c>
      <c r="D35" s="7">
        <f t="shared" ref="D35:D38" si="0">C35/B35</f>
        <v>0.8</v>
      </c>
    </row>
    <row r="36" spans="1:4">
      <c r="A36" t="s">
        <v>21</v>
      </c>
      <c r="B36">
        <f>COUNTIF(units!E:E, A36)</f>
        <v>4</v>
      </c>
      <c r="C36">
        <f>COUNTIFS(leases!L:L, A36, leases!J:J, 1)</f>
        <v>2</v>
      </c>
      <c r="D36" s="7">
        <f t="shared" si="0"/>
        <v>0.5</v>
      </c>
    </row>
    <row r="37" spans="1:4">
      <c r="A37" t="s">
        <v>22</v>
      </c>
      <c r="B37">
        <f>COUNTIF(units!E:E, A37)</f>
        <v>3</v>
      </c>
      <c r="C37">
        <f>COUNTIFS(leases!L:L, A37, leases!J:J, 1)</f>
        <v>0</v>
      </c>
      <c r="D37" s="7">
        <f t="shared" si="0"/>
        <v>0</v>
      </c>
    </row>
    <row r="38" spans="1:4">
      <c r="A38" t="s">
        <v>23</v>
      </c>
      <c r="B38">
        <f>COUNTIF(units!E:E, A38)</f>
        <v>3</v>
      </c>
      <c r="C38">
        <f>COUNTIFS(leases!L:L, A38, leases!J:J, 1)</f>
        <v>0</v>
      </c>
      <c r="D38" s="7">
        <f t="shared" si="0"/>
        <v>0</v>
      </c>
    </row>
    <row r="47" spans="1:4">
      <c r="B47" s="3" t="s">
        <v>80</v>
      </c>
      <c r="C47" t="s">
        <v>87</v>
      </c>
    </row>
    <row r="48" spans="1:4">
      <c r="B48" s="4" t="s">
        <v>17</v>
      </c>
      <c r="C48" s="5">
        <v>39000</v>
      </c>
    </row>
    <row r="49" spans="2:3">
      <c r="B49" s="8" t="s">
        <v>21</v>
      </c>
      <c r="C49" s="5">
        <v>39000</v>
      </c>
    </row>
    <row r="50" spans="2:3">
      <c r="B50" s="4" t="s">
        <v>15</v>
      </c>
      <c r="C50" s="5">
        <v>53000</v>
      </c>
    </row>
    <row r="51" spans="2:3">
      <c r="B51" s="8" t="s">
        <v>19</v>
      </c>
      <c r="C51" s="5">
        <v>53000</v>
      </c>
    </row>
    <row r="52" spans="2:3">
      <c r="B52" s="4" t="s">
        <v>16</v>
      </c>
      <c r="C52" s="5">
        <v>47000</v>
      </c>
    </row>
    <row r="53" spans="2:3">
      <c r="B53" s="8" t="s">
        <v>20</v>
      </c>
      <c r="C53" s="5">
        <v>47000</v>
      </c>
    </row>
    <row r="54" spans="2:3">
      <c r="B54" s="4" t="s">
        <v>81</v>
      </c>
      <c r="C54" s="5">
        <v>48166.666666666664</v>
      </c>
    </row>
  </sheetData>
  <pageMargins left="0.7" right="0.7" top="0.75" bottom="0.75" header="0.3" footer="0.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FE35F-4B5B-4130-BB29-F98F0AFAAE83}">
  <dimension ref="H3:L3"/>
  <sheetViews>
    <sheetView showGridLines="0" tabSelected="1" zoomScale="64" zoomScaleNormal="64" workbookViewId="0">
      <selection activeCell="Y9" sqref="Y9"/>
    </sheetView>
  </sheetViews>
  <sheetFormatPr defaultRowHeight="15"/>
  <cols>
    <col min="7" max="7" width="5.5703125" customWidth="1"/>
    <col min="12" max="12" width="43.28515625" customWidth="1"/>
  </cols>
  <sheetData>
    <row r="3" spans="8:12" ht="26.25">
      <c r="H3" s="9" t="s">
        <v>88</v>
      </c>
      <c r="I3" s="9"/>
      <c r="J3" s="9"/>
      <c r="K3" s="9"/>
      <c r="L3" s="9"/>
    </row>
  </sheetData>
  <mergeCells count="1">
    <mergeCell ref="H3:L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EB55B-0D07-4EE4-B7C2-09A641656DE4}">
  <dimension ref="A1:M13"/>
  <sheetViews>
    <sheetView workbookViewId="0">
      <selection activeCell="D8" sqref="D8"/>
    </sheetView>
  </sheetViews>
  <sheetFormatPr defaultRowHeight="15"/>
  <cols>
    <col min="1" max="1" width="5" bestFit="1" customWidth="1"/>
    <col min="2" max="2" width="9.5703125" bestFit="1" customWidth="1"/>
    <col min="3" max="3" width="11.85546875" bestFit="1" customWidth="1"/>
    <col min="4" max="4" width="18" bestFit="1" customWidth="1"/>
    <col min="5" max="5" width="9.42578125" bestFit="1" customWidth="1"/>
    <col min="6" max="6" width="12.28515625" bestFit="1" customWidth="1"/>
    <col min="7" max="7" width="11.7109375" bestFit="1" customWidth="1"/>
    <col min="8" max="8" width="14" bestFit="1" customWidth="1"/>
    <col min="9" max="9" width="24.7109375" bestFit="1" customWidth="1"/>
    <col min="10" max="10" width="13.28515625" bestFit="1" customWidth="1"/>
    <col min="11" max="11" width="14.28515625" bestFit="1" customWidth="1"/>
    <col min="12" max="12" width="17.5703125" customWidth="1"/>
    <col min="13" max="13" width="19" customWidth="1"/>
  </cols>
  <sheetData>
    <row r="1" spans="1:13">
      <c r="A1" t="s">
        <v>0</v>
      </c>
      <c r="B1" t="s">
        <v>1</v>
      </c>
      <c r="C1" t="s">
        <v>2</v>
      </c>
      <c r="D1" t="s">
        <v>3</v>
      </c>
      <c r="E1" t="s">
        <v>4</v>
      </c>
      <c r="F1" t="s">
        <v>5</v>
      </c>
      <c r="G1" t="s">
        <v>6</v>
      </c>
      <c r="H1" t="s">
        <v>7</v>
      </c>
      <c r="I1" t="s">
        <v>8</v>
      </c>
      <c r="J1" t="s">
        <v>9</v>
      </c>
      <c r="K1" t="s">
        <v>10</v>
      </c>
      <c r="L1" t="s">
        <v>79</v>
      </c>
      <c r="M1" t="s">
        <v>78</v>
      </c>
    </row>
    <row r="2" spans="1:13">
      <c r="A2">
        <v>1</v>
      </c>
      <c r="B2">
        <v>1</v>
      </c>
      <c r="C2">
        <v>1</v>
      </c>
      <c r="D2">
        <v>45000</v>
      </c>
      <c r="E2">
        <v>0</v>
      </c>
      <c r="F2" s="1">
        <v>45292</v>
      </c>
      <c r="G2" s="1"/>
      <c r="H2">
        <v>540000</v>
      </c>
      <c r="I2">
        <v>24</v>
      </c>
      <c r="J2">
        <v>1</v>
      </c>
      <c r="K2" t="s">
        <v>11</v>
      </c>
      <c r="L2" t="str">
        <f>VLOOKUP(B2, units!A:E, 5, FALSE)</f>
        <v>NSSF Towers</v>
      </c>
      <c r="M2" s="2" t="str">
        <f>VLOOKUP(B2, units!A:F, 6, FALSE)</f>
        <v>Nairobi Cbd</v>
      </c>
    </row>
    <row r="3" spans="1:13">
      <c r="A3">
        <v>2</v>
      </c>
      <c r="B3">
        <v>2</v>
      </c>
      <c r="C3">
        <v>2</v>
      </c>
      <c r="D3">
        <v>55000</v>
      </c>
      <c r="E3">
        <v>5000</v>
      </c>
      <c r="F3" s="1">
        <v>45231</v>
      </c>
      <c r="G3" s="1">
        <v>45596</v>
      </c>
      <c r="H3">
        <v>660000</v>
      </c>
      <c r="I3">
        <v>12</v>
      </c>
      <c r="J3">
        <v>1</v>
      </c>
      <c r="K3" t="s">
        <v>12</v>
      </c>
      <c r="L3" t="str">
        <f>VLOOKUP(B3, units!A:E, 5, FALSE)</f>
        <v>NSSF Towers</v>
      </c>
      <c r="M3" t="str">
        <f>VLOOKUP(B3, units!A:F, 6, FALSE)</f>
        <v>Nairobi Cbd</v>
      </c>
    </row>
    <row r="4" spans="1:13">
      <c r="A4">
        <v>3</v>
      </c>
      <c r="B4">
        <v>3</v>
      </c>
      <c r="C4">
        <v>3</v>
      </c>
      <c r="D4">
        <v>65000</v>
      </c>
      <c r="E4">
        <v>-2000</v>
      </c>
      <c r="F4" s="1">
        <v>45323</v>
      </c>
      <c r="G4" s="1"/>
      <c r="H4">
        <v>780000</v>
      </c>
      <c r="I4">
        <v>23</v>
      </c>
      <c r="J4">
        <v>1</v>
      </c>
      <c r="K4" t="s">
        <v>11</v>
      </c>
      <c r="L4" t="str">
        <f>VLOOKUP(B4, units!A:E, 5, FALSE)</f>
        <v>NSSF Towers</v>
      </c>
      <c r="M4" t="str">
        <f>VLOOKUP(B4, units!A:F, 6, FALSE)</f>
        <v>Nairobi Cbd</v>
      </c>
    </row>
    <row r="5" spans="1:13">
      <c r="A5">
        <v>4</v>
      </c>
      <c r="B5">
        <v>4</v>
      </c>
      <c r="C5">
        <v>4</v>
      </c>
      <c r="D5">
        <v>30000</v>
      </c>
      <c r="E5">
        <v>1000</v>
      </c>
      <c r="F5" s="1">
        <v>45352</v>
      </c>
      <c r="G5" s="1"/>
      <c r="H5">
        <v>360000</v>
      </c>
      <c r="I5">
        <v>22</v>
      </c>
      <c r="J5">
        <v>1</v>
      </c>
      <c r="K5" t="s">
        <v>11</v>
      </c>
      <c r="L5" t="str">
        <f>VLOOKUP(B5, units!A:E, 5, FALSE)</f>
        <v>NSSF Towers</v>
      </c>
      <c r="M5" t="str">
        <f>VLOOKUP(B5, units!A:F, 6, FALSE)</f>
        <v>Nairobi Cbd</v>
      </c>
    </row>
    <row r="6" spans="1:13">
      <c r="A6">
        <v>5</v>
      </c>
      <c r="B6">
        <v>5</v>
      </c>
      <c r="C6">
        <v>3</v>
      </c>
      <c r="D6">
        <v>70000</v>
      </c>
      <c r="E6">
        <v>0</v>
      </c>
      <c r="F6" s="1">
        <v>45689</v>
      </c>
      <c r="G6" s="1">
        <v>46022</v>
      </c>
      <c r="H6">
        <v>840000</v>
      </c>
      <c r="I6">
        <v>11</v>
      </c>
      <c r="J6">
        <v>1</v>
      </c>
      <c r="K6" t="s">
        <v>12</v>
      </c>
      <c r="L6" t="str">
        <f>VLOOKUP(B6, units!A:E, 5, FALSE)</f>
        <v>NSSF Towers</v>
      </c>
      <c r="M6" t="str">
        <f>VLOOKUP(B6, units!A:F, 6, FALSE)</f>
        <v>Nairobi Cbd</v>
      </c>
    </row>
    <row r="7" spans="1:13">
      <c r="A7">
        <v>6</v>
      </c>
      <c r="B7">
        <v>6</v>
      </c>
      <c r="C7">
        <v>5</v>
      </c>
      <c r="D7">
        <v>40000</v>
      </c>
      <c r="E7">
        <v>8000</v>
      </c>
      <c r="F7" s="1">
        <v>45458</v>
      </c>
      <c r="G7" s="1">
        <v>45822</v>
      </c>
      <c r="H7">
        <v>480000</v>
      </c>
      <c r="I7">
        <v>12</v>
      </c>
      <c r="J7">
        <v>1</v>
      </c>
      <c r="K7" t="s">
        <v>12</v>
      </c>
      <c r="L7" t="str">
        <f>VLOOKUP(B7, units!A:E, 5, FALSE)</f>
        <v>Delta Corner</v>
      </c>
      <c r="M7" t="str">
        <f>VLOOKUP(B7, units!A:F, 6, FALSE)</f>
        <v>Westlands</v>
      </c>
    </row>
    <row r="8" spans="1:13">
      <c r="A8">
        <v>7</v>
      </c>
      <c r="B8">
        <v>7</v>
      </c>
      <c r="C8">
        <v>6</v>
      </c>
      <c r="D8">
        <v>52000</v>
      </c>
      <c r="E8">
        <v>0</v>
      </c>
      <c r="F8" s="1">
        <v>45505</v>
      </c>
      <c r="G8" s="1">
        <v>45504</v>
      </c>
      <c r="H8">
        <v>624000</v>
      </c>
      <c r="I8">
        <v>0</v>
      </c>
      <c r="J8">
        <v>0</v>
      </c>
      <c r="K8" t="s">
        <v>13</v>
      </c>
      <c r="L8" t="str">
        <f>VLOOKUP(B8, units!A:E, 5, FALSE)</f>
        <v>Delta Corner</v>
      </c>
      <c r="M8" t="str">
        <f>VLOOKUP(B8, units!A:F, 6, FALSE)</f>
        <v>Westlands</v>
      </c>
    </row>
    <row r="9" spans="1:13">
      <c r="A9">
        <v>8</v>
      </c>
      <c r="B9">
        <v>8</v>
      </c>
      <c r="C9">
        <v>7</v>
      </c>
      <c r="D9">
        <v>38000</v>
      </c>
      <c r="E9">
        <v>12000</v>
      </c>
      <c r="F9" s="1">
        <v>45170</v>
      </c>
      <c r="G9" s="1"/>
      <c r="H9">
        <v>456000</v>
      </c>
      <c r="I9">
        <v>28</v>
      </c>
      <c r="J9">
        <v>1</v>
      </c>
      <c r="K9" t="s">
        <v>11</v>
      </c>
      <c r="L9" t="str">
        <f>VLOOKUP(B9, units!A:E, 5, FALSE)</f>
        <v>Delta Corner</v>
      </c>
      <c r="M9" t="str">
        <f>VLOOKUP(B9, units!A:F, 6, FALSE)</f>
        <v>Westlands</v>
      </c>
    </row>
    <row r="10" spans="1:13">
      <c r="A10">
        <v>9</v>
      </c>
      <c r="B10">
        <v>9</v>
      </c>
      <c r="C10">
        <v>8</v>
      </c>
      <c r="D10">
        <v>60000</v>
      </c>
      <c r="E10">
        <v>0</v>
      </c>
      <c r="F10" s="1">
        <v>45658</v>
      </c>
      <c r="G10" s="1"/>
      <c r="H10">
        <v>720000</v>
      </c>
      <c r="I10">
        <v>12</v>
      </c>
      <c r="J10">
        <v>1</v>
      </c>
      <c r="K10" t="s">
        <v>11</v>
      </c>
      <c r="L10" t="str">
        <f>VLOOKUP(B10, units!A:E, 5, FALSE)</f>
        <v>Delta Corner</v>
      </c>
      <c r="M10" t="str">
        <f>VLOOKUP(B10, units!A:F, 6, FALSE)</f>
        <v>Westlands</v>
      </c>
    </row>
    <row r="11" spans="1:13">
      <c r="A11">
        <v>10</v>
      </c>
      <c r="B11">
        <v>10</v>
      </c>
      <c r="C11">
        <v>2</v>
      </c>
      <c r="D11">
        <v>45000</v>
      </c>
      <c r="E11">
        <v>1000</v>
      </c>
      <c r="F11" s="1">
        <v>45323</v>
      </c>
      <c r="G11" s="1">
        <v>45657</v>
      </c>
      <c r="H11">
        <v>540000</v>
      </c>
      <c r="I11">
        <v>11</v>
      </c>
      <c r="J11">
        <v>1</v>
      </c>
      <c r="K11" t="s">
        <v>12</v>
      </c>
      <c r="L11" t="str">
        <f>VLOOKUP(B11, units!A:E, 5, FALSE)</f>
        <v>Delta Corner</v>
      </c>
      <c r="M11" t="str">
        <f>VLOOKUP(B11, units!A:F, 6, FALSE)</f>
        <v>Westlands</v>
      </c>
    </row>
    <row r="12" spans="1:13">
      <c r="A12">
        <v>11</v>
      </c>
      <c r="B12">
        <v>11</v>
      </c>
      <c r="C12">
        <v>9</v>
      </c>
      <c r="D12">
        <v>31000</v>
      </c>
      <c r="E12">
        <v>0</v>
      </c>
      <c r="F12" s="1">
        <v>45047</v>
      </c>
      <c r="G12" s="1">
        <v>45412</v>
      </c>
      <c r="H12">
        <v>372000</v>
      </c>
      <c r="I12">
        <v>12</v>
      </c>
      <c r="J12">
        <v>1</v>
      </c>
      <c r="K12" t="s">
        <v>12</v>
      </c>
      <c r="L12" t="str">
        <f>VLOOKUP(B12, units!A:E, 5, FALSE)</f>
        <v>The Junction Residences</v>
      </c>
      <c r="M12" t="str">
        <f>VLOOKUP(B12, units!A:F, 6, FALSE)</f>
        <v>Kilimani</v>
      </c>
    </row>
    <row r="13" spans="1:13">
      <c r="A13">
        <v>12</v>
      </c>
      <c r="B13">
        <v>12</v>
      </c>
      <c r="C13">
        <v>10</v>
      </c>
      <c r="D13">
        <v>47000</v>
      </c>
      <c r="E13">
        <v>3000</v>
      </c>
      <c r="F13" s="1">
        <v>45566</v>
      </c>
      <c r="G13" s="1">
        <v>45930</v>
      </c>
      <c r="H13">
        <v>564000</v>
      </c>
      <c r="I13">
        <v>12</v>
      </c>
      <c r="J13">
        <v>1</v>
      </c>
      <c r="K13" t="s">
        <v>12</v>
      </c>
      <c r="L13" t="str">
        <f>VLOOKUP(B13, units!A:E, 5, FALSE)</f>
        <v>The Junction Residences</v>
      </c>
      <c r="M13" t="str">
        <f>VLOOKUP(B13, units!A:F, 6, FALSE)</f>
        <v>Kilimani</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780C2A2-22F1-4742-947E-BE66FDE1FC1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units</vt:lpstr>
      <vt:lpstr>tenants</vt:lpstr>
      <vt:lpstr>properties</vt:lpstr>
      <vt:lpstr>locations</vt:lpstr>
      <vt:lpstr>Calculations</vt:lpstr>
      <vt:lpstr>Dashboard</vt:lpstr>
      <vt:lpstr>leases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Beyonce Ngina</dc:creator>
  <cp:lastModifiedBy>Beyonce Ngina</cp:lastModifiedBy>
  <dcterms:created xsi:type="dcterms:W3CDTF">2026-01-11T22:02:11Z</dcterms:created>
  <dcterms:modified xsi:type="dcterms:W3CDTF">2064-01-02T06:46:39Z</dcterms:modified>
</cp:coreProperties>
</file>